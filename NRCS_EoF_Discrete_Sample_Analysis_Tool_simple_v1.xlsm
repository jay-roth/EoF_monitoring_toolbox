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usdagcc.sharepoint.com/sites/FPAC-NRCS-WaterQualityQuantityTeam-EoF_recent_grads/Shared Documents/EoF_recent_grads/reporting_tools/"/>
    </mc:Choice>
  </mc:AlternateContent>
  <xr:revisionPtr revIDLastSave="274" documentId="13_ncr:20001_{873D88CA-C383-4F39-9F3A-C02AF9645460}" xr6:coauthVersionLast="47" xr6:coauthVersionMax="47" xr10:uidLastSave="{2A680FEC-106C-4B67-964C-F0F60EE054E6}"/>
  <bookViews>
    <workbookView xWindow="57480" yWindow="-120" windowWidth="29040" windowHeight="15720" tabRatio="778" activeTab="1" xr2:uid="{FF1BA31B-5DC7-4A9F-BA96-FD3B06356474}"/>
  </bookViews>
  <sheets>
    <sheet name="instructions" sheetId="20" r:id="rId1"/>
    <sheet name="tool" sheetId="13" r:id="rId2"/>
    <sheet name="report" sheetId="15" state="veryHidden" r:id="rId3"/>
    <sheet name="lookup" sheetId="14" state="hidden" r:id="rId4"/>
    <sheet name="export" sheetId="18" state="hidden" r:id="rId5"/>
    <sheet name="dev" sheetId="17" state="hidden" r:id="rId6"/>
    <sheet name="Sheet1" sheetId="3" state="hidden" r:id="rId7"/>
  </sheets>
  <externalReferences>
    <externalReference r:id="rId8"/>
  </externalReferences>
  <definedNames>
    <definedName name="_xlchart.v1.0" hidden="1">report!$B$49</definedName>
    <definedName name="_xlchart.v1.1" hidden="1">report!$B$50</definedName>
    <definedName name="_xlchart.v1.2" hidden="1">tool!$E$35:$E$119</definedName>
    <definedName name="_xlchart.v1.3" hidden="1">tool!$F$35:$F$119</definedName>
    <definedName name="calc_test" localSheetId="0">[1]tool!$P$16</definedName>
    <definedName name="calc_test">tool!$P$13</definedName>
    <definedName name="cnt" localSheetId="0">[1]tool!$C$25</definedName>
    <definedName name="cnt">tool!$C$25</definedName>
    <definedName name="conv_fact" localSheetId="0">[1]lookup!$L$11</definedName>
    <definedName name="conv_fact">lookup!#REF!</definedName>
    <definedName name="CT_cnt">tool!$J$33</definedName>
    <definedName name="CT_fig">tool!$L$35:$L$119</definedName>
    <definedName name="ct_plt_vals">[1]tool!$L$35:$L$119</definedName>
    <definedName name="CT_sort" localSheetId="0">[1]tool!$S$35:$S$119</definedName>
    <definedName name="CT_sort">tool!$R$35:$R$119</definedName>
    <definedName name="CT_vals" localSheetId="0">[1]tool!$J$35:$J$119</definedName>
    <definedName name="CT_vals">tool!$J$35:$J$119</definedName>
    <definedName name="data_table">tool!$D$35:$F$119</definedName>
    <definedName name="date">[1]tool!$C$35:$C$119</definedName>
    <definedName name="fig_content" localSheetId="0">IF([1]report!$B$31="T-Test", [1]report!$B$20:$B$21, [1]report!$D$20:$D$21)</definedName>
    <definedName name="fig_content">IF(report!$B$30="T-Test", report!$B$19:$B$20, report!$D$19:$D$20)</definedName>
    <definedName name="last_row">tool!$L$33</definedName>
    <definedName name="metrics">lookup!#REF!</definedName>
    <definedName name="min_cnt" localSheetId="0">[1]tool!$P$17</definedName>
    <definedName name="min_cnt">tool!$P$14</definedName>
    <definedName name="n_samp">tool!$C$35:$C$119</definedName>
    <definedName name="parameters" localSheetId="0">[1]!parameter_tab[parameter]</definedName>
    <definedName name="parameters">parameter_tab[parameter]</definedName>
    <definedName name="project_data" localSheetId="0">[1]tool!$C$6,[1]tool!$E$6,[1]tool!$G$6,[1]tool!$C$8,[1]tool!$C$10,[1]tool!$G$8,[1]tool!$C$12,[1]tool!$G$12,[1]tool!$G$10</definedName>
    <definedName name="project_data">tool!$D$6,tool!#REF!,tool!$F$6,tool!$D$8,tool!$D$10,tool!$F$8,tool!$D$12,tool!$F$12,tool!$F$10</definedName>
    <definedName name="sample_table">tool!$D$35:$F$119</definedName>
    <definedName name="TX_cnt">tool!$K$33</definedName>
    <definedName name="TX_desc">tool!$C$14</definedName>
    <definedName name="TX_fig">tool!$M$35:$M$119</definedName>
    <definedName name="tx_plt_vals">[1]tool!$M$35:$M$119</definedName>
    <definedName name="TX_sort" localSheetId="0">[1]tool!$W$35:$W$1119</definedName>
    <definedName name="TX_sort">tool!$Y$35:$Y$119</definedName>
    <definedName name="TX_vals" localSheetId="0">[1]tool!$K$35:$K$119</definedName>
    <definedName name="TX_vals">tool!$K$35:$K$119</definedName>
    <definedName name="units">lookup!#REF!</definedName>
    <definedName name="value_data">tool!$F$35:$F$119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6" i="13" l="1"/>
  <c r="G37" i="13"/>
  <c r="G38"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35" i="13"/>
  <c r="G39" i="13" l="1"/>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9" i="18"/>
  <c r="B33" i="13" l="1"/>
  <c r="B26" i="15" l="1"/>
  <c r="C26" i="15" s="1" a="1"/>
  <c r="C26" i="15" s="1"/>
  <c r="B52" i="15"/>
  <c r="B51" i="15" a="1"/>
  <c r="B51" i="15" s="1"/>
  <c r="B50" i="15"/>
  <c r="B49" i="15"/>
  <c r="B48" i="15"/>
  <c r="B47" i="15"/>
  <c r="B46" i="15"/>
  <c r="B10" i="15"/>
  <c r="B12" i="15"/>
  <c r="B11" i="15" a="1"/>
  <c r="B11" i="15" s="1"/>
  <c r="B9" i="15"/>
  <c r="B8" i="15"/>
  <c r="B7" i="15"/>
  <c r="AA120" i="13" l="1"/>
  <c r="Z120" i="13"/>
  <c r="X120" i="13"/>
  <c r="V120" i="13"/>
  <c r="O120" i="13"/>
  <c r="P120" i="13"/>
  <c r="J36" i="13"/>
  <c r="K36" i="13"/>
  <c r="J37" i="13"/>
  <c r="K37" i="13"/>
  <c r="J38" i="13"/>
  <c r="K38" i="13"/>
  <c r="J39" i="13"/>
  <c r="K39" i="13"/>
  <c r="J40" i="13"/>
  <c r="K40" i="13"/>
  <c r="J41" i="13"/>
  <c r="P41" i="13" s="1"/>
  <c r="K41" i="13"/>
  <c r="W41" i="13" s="1"/>
  <c r="J42" i="13"/>
  <c r="P42" i="13" s="1"/>
  <c r="K42" i="13"/>
  <c r="X42" i="13" s="1"/>
  <c r="J43" i="13"/>
  <c r="Q43" i="13" s="1"/>
  <c r="K43" i="13"/>
  <c r="W43" i="13" s="1"/>
  <c r="J44" i="13"/>
  <c r="Q44" i="13" s="1"/>
  <c r="K44" i="13"/>
  <c r="W44" i="13" s="1"/>
  <c r="J45" i="13"/>
  <c r="Q45" i="13" s="1"/>
  <c r="K45" i="13"/>
  <c r="X45" i="13" s="1"/>
  <c r="J46" i="13"/>
  <c r="Q46" i="13" s="1"/>
  <c r="K46" i="13"/>
  <c r="Z46" i="13" s="1"/>
  <c r="J47" i="13"/>
  <c r="Q47" i="13" s="1"/>
  <c r="K47" i="13"/>
  <c r="Z47" i="13" s="1"/>
  <c r="J48" i="13"/>
  <c r="Q48" i="13" s="1"/>
  <c r="K48" i="13"/>
  <c r="Z48" i="13" s="1"/>
  <c r="J49" i="13"/>
  <c r="O49" i="13" s="1"/>
  <c r="K49" i="13"/>
  <c r="Z49" i="13" s="1"/>
  <c r="J50" i="13"/>
  <c r="Q50" i="13" s="1"/>
  <c r="K50" i="13"/>
  <c r="V50" i="13" s="1"/>
  <c r="J51" i="13"/>
  <c r="O51" i="13" s="1"/>
  <c r="K51" i="13"/>
  <c r="W51" i="13" s="1"/>
  <c r="J52" i="13"/>
  <c r="T52" i="13" s="1"/>
  <c r="K52" i="13"/>
  <c r="W52" i="13" s="1"/>
  <c r="J53" i="13"/>
  <c r="P53" i="13" s="1"/>
  <c r="K53" i="13"/>
  <c r="W53" i="13" s="1"/>
  <c r="J54" i="13"/>
  <c r="P54" i="13" s="1"/>
  <c r="K54" i="13"/>
  <c r="X54" i="13" s="1"/>
  <c r="J55" i="13"/>
  <c r="Q55" i="13" s="1"/>
  <c r="K55" i="13"/>
  <c r="W55" i="13" s="1"/>
  <c r="J56" i="13"/>
  <c r="Q56" i="13" s="1"/>
  <c r="K56" i="13"/>
  <c r="W56" i="13" s="1"/>
  <c r="J57" i="13"/>
  <c r="Q57" i="13" s="1"/>
  <c r="K57" i="13"/>
  <c r="X57" i="13" s="1"/>
  <c r="J58" i="13"/>
  <c r="Q58" i="13" s="1"/>
  <c r="K58" i="13"/>
  <c r="Z58" i="13" s="1"/>
  <c r="J59" i="13"/>
  <c r="Q59" i="13" s="1"/>
  <c r="K59" i="13"/>
  <c r="Z59" i="13" s="1"/>
  <c r="J60" i="13"/>
  <c r="Q60" i="13" s="1"/>
  <c r="K60" i="13"/>
  <c r="Z60" i="13" s="1"/>
  <c r="J61" i="13"/>
  <c r="S61" i="13" s="1"/>
  <c r="K61" i="13"/>
  <c r="Z61" i="13" s="1"/>
  <c r="J62" i="13"/>
  <c r="Q62" i="13" s="1"/>
  <c r="K62" i="13"/>
  <c r="V62" i="13" s="1"/>
  <c r="J63" i="13"/>
  <c r="O63" i="13" s="1"/>
  <c r="K63" i="13"/>
  <c r="W63" i="13" s="1"/>
  <c r="J64" i="13"/>
  <c r="T64" i="13" s="1"/>
  <c r="K64" i="13"/>
  <c r="W64" i="13" s="1"/>
  <c r="J65" i="13"/>
  <c r="P65" i="13" s="1"/>
  <c r="K65" i="13"/>
  <c r="W65" i="13" s="1"/>
  <c r="J66" i="13"/>
  <c r="P66" i="13" s="1"/>
  <c r="K66" i="13"/>
  <c r="W66" i="13" s="1"/>
  <c r="J67" i="13"/>
  <c r="Q67" i="13" s="1"/>
  <c r="K67" i="13"/>
  <c r="W67" i="13" s="1"/>
  <c r="J68" i="13"/>
  <c r="Q68" i="13" s="1"/>
  <c r="K68" i="13"/>
  <c r="W68" i="13" s="1"/>
  <c r="J69" i="13"/>
  <c r="Q69" i="13" s="1"/>
  <c r="K69" i="13"/>
  <c r="X69" i="13" s="1"/>
  <c r="J70" i="13"/>
  <c r="Q70" i="13" s="1"/>
  <c r="K70" i="13"/>
  <c r="Z70" i="13" s="1"/>
  <c r="J71" i="13"/>
  <c r="Q71" i="13" s="1"/>
  <c r="K71" i="13"/>
  <c r="Z71" i="13" s="1"/>
  <c r="J72" i="13"/>
  <c r="Q72" i="13" s="1"/>
  <c r="K72" i="13"/>
  <c r="Z72" i="13" s="1"/>
  <c r="J73" i="13"/>
  <c r="O73" i="13" s="1"/>
  <c r="K73" i="13"/>
  <c r="Z73" i="13" s="1"/>
  <c r="J74" i="13"/>
  <c r="Q74" i="13" s="1"/>
  <c r="K74" i="13"/>
  <c r="V74" i="13" s="1"/>
  <c r="J75" i="13"/>
  <c r="O75" i="13" s="1"/>
  <c r="K75" i="13"/>
  <c r="W75" i="13" s="1"/>
  <c r="J76" i="13"/>
  <c r="T76" i="13" s="1"/>
  <c r="K76" i="13"/>
  <c r="W76" i="13" s="1"/>
  <c r="J77" i="13"/>
  <c r="P77" i="13" s="1"/>
  <c r="K77" i="13"/>
  <c r="W77" i="13" s="1"/>
  <c r="J78" i="13"/>
  <c r="P78" i="13" s="1"/>
  <c r="K78" i="13"/>
  <c r="W78" i="13" s="1"/>
  <c r="J79" i="13"/>
  <c r="Q79" i="13" s="1"/>
  <c r="K79" i="13"/>
  <c r="W79" i="13" s="1"/>
  <c r="J80" i="13"/>
  <c r="Q80" i="13" s="1"/>
  <c r="K80" i="13"/>
  <c r="W80" i="13" s="1"/>
  <c r="J81" i="13"/>
  <c r="Q81" i="13" s="1"/>
  <c r="K81" i="13"/>
  <c r="X81" i="13" s="1"/>
  <c r="J82" i="13"/>
  <c r="Q82" i="13" s="1"/>
  <c r="K82" i="13"/>
  <c r="Z82" i="13" s="1"/>
  <c r="J83" i="13"/>
  <c r="Q83" i="13" s="1"/>
  <c r="K83" i="13"/>
  <c r="Z83" i="13" s="1"/>
  <c r="J84" i="13"/>
  <c r="Q84" i="13" s="1"/>
  <c r="K84" i="13"/>
  <c r="Z84" i="13" s="1"/>
  <c r="J85" i="13"/>
  <c r="T85" i="13" s="1"/>
  <c r="K85" i="13"/>
  <c r="Z85" i="13" s="1"/>
  <c r="J86" i="13"/>
  <c r="Q86" i="13" s="1"/>
  <c r="K86" i="13"/>
  <c r="V86" i="13" s="1"/>
  <c r="J87" i="13"/>
  <c r="O87" i="13" s="1"/>
  <c r="K87" i="13"/>
  <c r="W87" i="13" s="1"/>
  <c r="J88" i="13"/>
  <c r="T88" i="13" s="1"/>
  <c r="K88" i="13"/>
  <c r="W88" i="13" s="1"/>
  <c r="J89" i="13"/>
  <c r="P89" i="13" s="1"/>
  <c r="K89" i="13"/>
  <c r="W89" i="13" s="1"/>
  <c r="J90" i="13"/>
  <c r="P90" i="13" s="1"/>
  <c r="K90" i="13"/>
  <c r="W90" i="13" s="1"/>
  <c r="J91" i="13"/>
  <c r="Q91" i="13" s="1"/>
  <c r="K91" i="13"/>
  <c r="W91" i="13" s="1"/>
  <c r="J92" i="13"/>
  <c r="Q92" i="13" s="1"/>
  <c r="K92" i="13"/>
  <c r="W92" i="13" s="1"/>
  <c r="J93" i="13"/>
  <c r="Q93" i="13" s="1"/>
  <c r="K93" i="13"/>
  <c r="X93" i="13" s="1"/>
  <c r="J94" i="13"/>
  <c r="Q94" i="13" s="1"/>
  <c r="K94" i="13"/>
  <c r="Z94" i="13" s="1"/>
  <c r="J95" i="13"/>
  <c r="Q95" i="13" s="1"/>
  <c r="K95" i="13"/>
  <c r="Z95" i="13" s="1"/>
  <c r="J96" i="13"/>
  <c r="Q96" i="13" s="1"/>
  <c r="K96" i="13"/>
  <c r="Z96" i="13" s="1"/>
  <c r="J97" i="13"/>
  <c r="T97" i="13" s="1"/>
  <c r="K97" i="13"/>
  <c r="Z97" i="13" s="1"/>
  <c r="J98" i="13"/>
  <c r="Q98" i="13" s="1"/>
  <c r="K98" i="13"/>
  <c r="V98" i="13" s="1"/>
  <c r="J99" i="13"/>
  <c r="O99" i="13" s="1"/>
  <c r="K99" i="13"/>
  <c r="W99" i="13" s="1"/>
  <c r="J100" i="13"/>
  <c r="T100" i="13" s="1"/>
  <c r="K100" i="13"/>
  <c r="W100" i="13" s="1"/>
  <c r="J101" i="13"/>
  <c r="P101" i="13" s="1"/>
  <c r="K101" i="13"/>
  <c r="W101" i="13" s="1"/>
  <c r="J102" i="13"/>
  <c r="P102" i="13" s="1"/>
  <c r="K102" i="13"/>
  <c r="X102" i="13" s="1"/>
  <c r="J103" i="13"/>
  <c r="Q103" i="13" s="1"/>
  <c r="K103" i="13"/>
  <c r="W103" i="13" s="1"/>
  <c r="J104" i="13"/>
  <c r="Q104" i="13" s="1"/>
  <c r="K104" i="13"/>
  <c r="W104" i="13" s="1"/>
  <c r="J105" i="13"/>
  <c r="Q105" i="13" s="1"/>
  <c r="K105" i="13"/>
  <c r="X105" i="13" s="1"/>
  <c r="J106" i="13"/>
  <c r="Q106" i="13" s="1"/>
  <c r="K106" i="13"/>
  <c r="Z106" i="13" s="1"/>
  <c r="J107" i="13"/>
  <c r="Q107" i="13" s="1"/>
  <c r="K107" i="13"/>
  <c r="Z107" i="13" s="1"/>
  <c r="J108" i="13"/>
  <c r="Q108" i="13" s="1"/>
  <c r="K108" i="13"/>
  <c r="Z108" i="13" s="1"/>
  <c r="J109" i="13"/>
  <c r="T109" i="13" s="1"/>
  <c r="K109" i="13"/>
  <c r="Z109" i="13" s="1"/>
  <c r="J110" i="13"/>
  <c r="Q110" i="13" s="1"/>
  <c r="K110" i="13"/>
  <c r="V110" i="13" s="1"/>
  <c r="J111" i="13"/>
  <c r="O111" i="13" s="1"/>
  <c r="K111" i="13"/>
  <c r="W111" i="13" s="1"/>
  <c r="J112" i="13"/>
  <c r="T112" i="13" s="1"/>
  <c r="K112" i="13"/>
  <c r="W112" i="13" s="1"/>
  <c r="J113" i="13"/>
  <c r="P113" i="13" s="1"/>
  <c r="K113" i="13"/>
  <c r="W113" i="13" s="1"/>
  <c r="J114" i="13"/>
  <c r="P114" i="13" s="1"/>
  <c r="K114" i="13"/>
  <c r="W114" i="13" s="1"/>
  <c r="J115" i="13"/>
  <c r="Q115" i="13" s="1"/>
  <c r="K115" i="13"/>
  <c r="W115" i="13" s="1"/>
  <c r="J116" i="13"/>
  <c r="Q116" i="13" s="1"/>
  <c r="K116" i="13"/>
  <c r="W116" i="13" s="1"/>
  <c r="J117" i="13"/>
  <c r="Q117" i="13" s="1"/>
  <c r="K117" i="13"/>
  <c r="X117" i="13" s="1"/>
  <c r="J118" i="13"/>
  <c r="Q118" i="13" s="1"/>
  <c r="K118" i="13"/>
  <c r="Z118" i="13" s="1"/>
  <c r="J119" i="13"/>
  <c r="Q119" i="13" s="1"/>
  <c r="K119" i="13"/>
  <c r="Z119" i="13" s="1"/>
  <c r="K35" i="13"/>
  <c r="J35" i="13"/>
  <c r="V71" i="13" l="1"/>
  <c r="AC119" i="13"/>
  <c r="AC47" i="13"/>
  <c r="AL72" i="13"/>
  <c r="AP72" i="13" s="1"/>
  <c r="AA44" i="13"/>
  <c r="AL84" i="13"/>
  <c r="AP84" i="13" s="1"/>
  <c r="AC84" i="13"/>
  <c r="AL60" i="13"/>
  <c r="AP60" i="13" s="1"/>
  <c r="AC83" i="13"/>
  <c r="AL48" i="13"/>
  <c r="AP48" i="13" s="1"/>
  <c r="AC75" i="13"/>
  <c r="AA117" i="13"/>
  <c r="AC48" i="13"/>
  <c r="AA116" i="13"/>
  <c r="AA107" i="13"/>
  <c r="AD111" i="13"/>
  <c r="P111" i="13"/>
  <c r="AA81" i="13"/>
  <c r="AD51" i="13"/>
  <c r="P99" i="13"/>
  <c r="AA80" i="13"/>
  <c r="AD50" i="13"/>
  <c r="P51" i="13"/>
  <c r="AA71" i="13"/>
  <c r="AL108" i="13"/>
  <c r="AP108" i="13" s="1"/>
  <c r="AA45" i="13"/>
  <c r="AL96" i="13"/>
  <c r="AP96" i="13" s="1"/>
  <c r="AL39" i="13"/>
  <c r="AM39" i="13" s="1"/>
  <c r="AD38" i="13"/>
  <c r="AC35" i="13"/>
  <c r="AL35" i="13"/>
  <c r="T62" i="13"/>
  <c r="V60" i="13"/>
  <c r="AA106" i="13"/>
  <c r="AA70" i="13"/>
  <c r="AC111" i="13"/>
  <c r="AC74" i="13"/>
  <c r="AD110" i="13"/>
  <c r="AL119" i="13"/>
  <c r="AL107" i="13"/>
  <c r="AL95" i="13"/>
  <c r="AL83" i="13"/>
  <c r="AL71" i="13"/>
  <c r="AL59" i="13"/>
  <c r="AL47" i="13"/>
  <c r="P50" i="13"/>
  <c r="V59" i="13"/>
  <c r="AA105" i="13"/>
  <c r="AA69" i="13"/>
  <c r="AC108" i="13"/>
  <c r="AC72" i="13"/>
  <c r="AD99" i="13"/>
  <c r="AL118" i="13"/>
  <c r="AP118" i="13" s="1"/>
  <c r="AL106" i="13"/>
  <c r="AP106" i="13" s="1"/>
  <c r="AL94" i="13"/>
  <c r="AL82" i="13"/>
  <c r="AP82" i="13" s="1"/>
  <c r="AL70" i="13"/>
  <c r="AP70" i="13" s="1"/>
  <c r="AL58" i="13"/>
  <c r="AP58" i="13" s="1"/>
  <c r="AL46" i="13"/>
  <c r="AP46" i="13" s="1"/>
  <c r="AL62" i="13"/>
  <c r="AP62" i="13" s="1"/>
  <c r="Q88" i="13"/>
  <c r="AA104" i="13"/>
  <c r="AA68" i="13"/>
  <c r="AC107" i="13"/>
  <c r="AC71" i="13"/>
  <c r="AD98" i="13"/>
  <c r="AL117" i="13"/>
  <c r="AP117" i="13" s="1"/>
  <c r="AL105" i="13"/>
  <c r="AP105" i="13" s="1"/>
  <c r="AL93" i="13"/>
  <c r="AP93" i="13" s="1"/>
  <c r="AL81" i="13"/>
  <c r="AP81" i="13" s="1"/>
  <c r="AL69" i="13"/>
  <c r="AP69" i="13" s="1"/>
  <c r="AL57" i="13"/>
  <c r="AP57" i="13" s="1"/>
  <c r="AL45" i="13"/>
  <c r="AP45" i="13" s="1"/>
  <c r="AL109" i="13"/>
  <c r="Q87" i="13"/>
  <c r="O119" i="13"/>
  <c r="AA95" i="13"/>
  <c r="AA59" i="13"/>
  <c r="AC99" i="13"/>
  <c r="AC63" i="13"/>
  <c r="AD87" i="13"/>
  <c r="AL116" i="13"/>
  <c r="AP116" i="13" s="1"/>
  <c r="AL104" i="13"/>
  <c r="AP104" i="13" s="1"/>
  <c r="AL92" i="13"/>
  <c r="AP92" i="13" s="1"/>
  <c r="AL80" i="13"/>
  <c r="AP80" i="13" s="1"/>
  <c r="AL68" i="13"/>
  <c r="AP68" i="13" s="1"/>
  <c r="AL56" i="13"/>
  <c r="AP56" i="13" s="1"/>
  <c r="AL44" i="13"/>
  <c r="AP44" i="13" s="1"/>
  <c r="AL98" i="13"/>
  <c r="AP98" i="13" s="1"/>
  <c r="AL50" i="13"/>
  <c r="AP50" i="13" s="1"/>
  <c r="Q77" i="13"/>
  <c r="O60" i="13"/>
  <c r="Z92" i="13"/>
  <c r="AA94" i="13"/>
  <c r="AA58" i="13"/>
  <c r="AC98" i="13"/>
  <c r="AC62" i="13"/>
  <c r="AD86" i="13"/>
  <c r="AL115" i="13"/>
  <c r="AP115" i="13" s="1"/>
  <c r="AL103" i="13"/>
  <c r="AP103" i="13" s="1"/>
  <c r="AL91" i="13"/>
  <c r="AP91" i="13" s="1"/>
  <c r="AL79" i="13"/>
  <c r="AP79" i="13" s="1"/>
  <c r="AL67" i="13"/>
  <c r="AP67" i="13" s="1"/>
  <c r="AL55" i="13"/>
  <c r="AP55" i="13" s="1"/>
  <c r="AL43" i="13"/>
  <c r="AP43" i="13" s="1"/>
  <c r="AL110" i="13"/>
  <c r="AP110" i="13" s="1"/>
  <c r="Q76" i="13"/>
  <c r="O59" i="13"/>
  <c r="Z80" i="13"/>
  <c r="AA93" i="13"/>
  <c r="AA57" i="13"/>
  <c r="AC96" i="13"/>
  <c r="AC60" i="13"/>
  <c r="AD75" i="13"/>
  <c r="AL114" i="13"/>
  <c r="AP114" i="13" s="1"/>
  <c r="AL102" i="13"/>
  <c r="AP102" i="13" s="1"/>
  <c r="AL90" i="13"/>
  <c r="AP90" i="13" s="1"/>
  <c r="AL78" i="13"/>
  <c r="AP78" i="13" s="1"/>
  <c r="AL66" i="13"/>
  <c r="AP66" i="13" s="1"/>
  <c r="AL54" i="13"/>
  <c r="AP54" i="13" s="1"/>
  <c r="AL42" i="13"/>
  <c r="AP42" i="13" s="1"/>
  <c r="AL86" i="13"/>
  <c r="AP86" i="13" s="1"/>
  <c r="Q75" i="13"/>
  <c r="O48" i="13"/>
  <c r="AA92" i="13"/>
  <c r="AA56" i="13"/>
  <c r="AC95" i="13"/>
  <c r="AC59" i="13"/>
  <c r="AD74" i="13"/>
  <c r="AL113" i="13"/>
  <c r="AP113" i="13" s="1"/>
  <c r="AL101" i="13"/>
  <c r="AP101" i="13" s="1"/>
  <c r="AL89" i="13"/>
  <c r="AP89" i="13" s="1"/>
  <c r="AL77" i="13"/>
  <c r="AP77" i="13" s="1"/>
  <c r="AL65" i="13"/>
  <c r="AP65" i="13" s="1"/>
  <c r="AL53" i="13"/>
  <c r="AP53" i="13" s="1"/>
  <c r="AL41" i="13"/>
  <c r="AP41" i="13" s="1"/>
  <c r="AL38" i="13"/>
  <c r="AL97" i="13"/>
  <c r="AL73" i="13"/>
  <c r="AL49" i="13"/>
  <c r="Q41" i="13"/>
  <c r="O47" i="13"/>
  <c r="AA119" i="13"/>
  <c r="AA83" i="13"/>
  <c r="AA47" i="13"/>
  <c r="AC87" i="13"/>
  <c r="AC51" i="13"/>
  <c r="AD63" i="13"/>
  <c r="AL112" i="13"/>
  <c r="AP112" i="13" s="1"/>
  <c r="AL100" i="13"/>
  <c r="AP100" i="13" s="1"/>
  <c r="AL88" i="13"/>
  <c r="AP88" i="13" s="1"/>
  <c r="AL76" i="13"/>
  <c r="AP76" i="13" s="1"/>
  <c r="AL64" i="13"/>
  <c r="AP64" i="13" s="1"/>
  <c r="AL52" i="13"/>
  <c r="AP52" i="13" s="1"/>
  <c r="AL40" i="13"/>
  <c r="AP40" i="13" s="1"/>
  <c r="AL74" i="13"/>
  <c r="AP74" i="13" s="1"/>
  <c r="AL85" i="13"/>
  <c r="AL61" i="13"/>
  <c r="T74" i="13"/>
  <c r="AA118" i="13"/>
  <c r="AA82" i="13"/>
  <c r="AA46" i="13"/>
  <c r="AC86" i="13"/>
  <c r="AC50" i="13"/>
  <c r="AD62" i="13"/>
  <c r="AL111" i="13"/>
  <c r="AP111" i="13" s="1"/>
  <c r="AL99" i="13"/>
  <c r="AP99" i="13" s="1"/>
  <c r="AL87" i="13"/>
  <c r="AP87" i="13" s="1"/>
  <c r="AL75" i="13"/>
  <c r="AP75" i="13" s="1"/>
  <c r="AL63" i="13"/>
  <c r="AP63" i="13" s="1"/>
  <c r="AL51" i="13"/>
  <c r="AP51" i="13" s="1"/>
  <c r="AL37" i="13"/>
  <c r="AM37" i="13" s="1"/>
  <c r="AL36" i="13"/>
  <c r="AD40" i="13"/>
  <c r="AC38" i="13"/>
  <c r="AC97" i="13"/>
  <c r="AD97" i="13"/>
  <c r="V48" i="13"/>
  <c r="AD35" i="13"/>
  <c r="AD36" i="13"/>
  <c r="Q113" i="13"/>
  <c r="Q65" i="13"/>
  <c r="P98" i="13"/>
  <c r="O107" i="13"/>
  <c r="S98" i="13"/>
  <c r="V119" i="13"/>
  <c r="V47" i="13"/>
  <c r="X67" i="13"/>
  <c r="Z68" i="13"/>
  <c r="AA115" i="13"/>
  <c r="AA103" i="13"/>
  <c r="AA91" i="13"/>
  <c r="AA79" i="13"/>
  <c r="AA67" i="13"/>
  <c r="AA55" i="13"/>
  <c r="AA43" i="13"/>
  <c r="AC118" i="13"/>
  <c r="AC106" i="13"/>
  <c r="AC94" i="13"/>
  <c r="AC82" i="13"/>
  <c r="AC70" i="13"/>
  <c r="AC58" i="13"/>
  <c r="AC46" i="13"/>
  <c r="AD119" i="13"/>
  <c r="AD107" i="13"/>
  <c r="AD95" i="13"/>
  <c r="AD83" i="13"/>
  <c r="AD71" i="13"/>
  <c r="AD59" i="13"/>
  <c r="AD47" i="13"/>
  <c r="AD61" i="13"/>
  <c r="AD60" i="13"/>
  <c r="Q112" i="13"/>
  <c r="Q64" i="13"/>
  <c r="P87" i="13"/>
  <c r="O96" i="13"/>
  <c r="S86" i="13"/>
  <c r="V108" i="13"/>
  <c r="W109" i="13"/>
  <c r="X55" i="13"/>
  <c r="Z67" i="13"/>
  <c r="AA114" i="13"/>
  <c r="AA102" i="13"/>
  <c r="AA90" i="13"/>
  <c r="AA78" i="13"/>
  <c r="AA66" i="13"/>
  <c r="AA54" i="13"/>
  <c r="AA42" i="13"/>
  <c r="AC117" i="13"/>
  <c r="AC105" i="13"/>
  <c r="AC93" i="13"/>
  <c r="AC81" i="13"/>
  <c r="AC69" i="13"/>
  <c r="AC57" i="13"/>
  <c r="AC45" i="13"/>
  <c r="AD118" i="13"/>
  <c r="AD106" i="13"/>
  <c r="AD94" i="13"/>
  <c r="AD82" i="13"/>
  <c r="AD70" i="13"/>
  <c r="AD58" i="13"/>
  <c r="AD46" i="13"/>
  <c r="AC49" i="13"/>
  <c r="AD109" i="13"/>
  <c r="X79" i="13"/>
  <c r="AD72" i="13"/>
  <c r="Q111" i="13"/>
  <c r="Q63" i="13"/>
  <c r="P86" i="13"/>
  <c r="O95" i="13"/>
  <c r="S74" i="13"/>
  <c r="V107" i="13"/>
  <c r="W97" i="13"/>
  <c r="X43" i="13"/>
  <c r="Z56" i="13"/>
  <c r="AA113" i="13"/>
  <c r="AA101" i="13"/>
  <c r="AA89" i="13"/>
  <c r="AA77" i="13"/>
  <c r="AA65" i="13"/>
  <c r="AA53" i="13"/>
  <c r="AA41" i="13"/>
  <c r="AC116" i="13"/>
  <c r="AC104" i="13"/>
  <c r="AC92" i="13"/>
  <c r="AC80" i="13"/>
  <c r="AC68" i="13"/>
  <c r="AC56" i="13"/>
  <c r="AC44" i="13"/>
  <c r="AD117" i="13"/>
  <c r="AD105" i="13"/>
  <c r="AD93" i="13"/>
  <c r="AD81" i="13"/>
  <c r="AD69" i="13"/>
  <c r="AD57" i="13"/>
  <c r="AD45" i="13"/>
  <c r="Z91" i="13"/>
  <c r="AC73" i="13"/>
  <c r="AC37" i="13"/>
  <c r="P110" i="13"/>
  <c r="AD37" i="13"/>
  <c r="S110" i="13"/>
  <c r="Z79" i="13"/>
  <c r="AD108" i="13"/>
  <c r="AD48" i="13"/>
  <c r="Q101" i="13"/>
  <c r="Q53" i="13"/>
  <c r="P75" i="13"/>
  <c r="O84" i="13"/>
  <c r="S62" i="13"/>
  <c r="V96" i="13"/>
  <c r="W85" i="13"/>
  <c r="Z55" i="13"/>
  <c r="AA112" i="13"/>
  <c r="AA100" i="13"/>
  <c r="AA88" i="13"/>
  <c r="AA76" i="13"/>
  <c r="AA64" i="13"/>
  <c r="AA52" i="13"/>
  <c r="AC115" i="13"/>
  <c r="AC103" i="13"/>
  <c r="AC91" i="13"/>
  <c r="AC79" i="13"/>
  <c r="AC67" i="13"/>
  <c r="AC55" i="13"/>
  <c r="AC43" i="13"/>
  <c r="AD116" i="13"/>
  <c r="AD104" i="13"/>
  <c r="AD92" i="13"/>
  <c r="AD80" i="13"/>
  <c r="AD68" i="13"/>
  <c r="AD56" i="13"/>
  <c r="AD44" i="13"/>
  <c r="X103" i="13"/>
  <c r="AC109" i="13"/>
  <c r="X91" i="13"/>
  <c r="AD73" i="13"/>
  <c r="O108" i="13"/>
  <c r="AD84" i="13"/>
  <c r="Q100" i="13"/>
  <c r="Q52" i="13"/>
  <c r="P74" i="13"/>
  <c r="O83" i="13"/>
  <c r="S50" i="13"/>
  <c r="V95" i="13"/>
  <c r="W73" i="13"/>
  <c r="Z116" i="13"/>
  <c r="Z44" i="13"/>
  <c r="AA111" i="13"/>
  <c r="AA99" i="13"/>
  <c r="AA87" i="13"/>
  <c r="AA75" i="13"/>
  <c r="AA63" i="13"/>
  <c r="AA51" i="13"/>
  <c r="AC114" i="13"/>
  <c r="AC102" i="13"/>
  <c r="AC90" i="13"/>
  <c r="AC78" i="13"/>
  <c r="AC66" i="13"/>
  <c r="AC54" i="13"/>
  <c r="AC42" i="13"/>
  <c r="AD115" i="13"/>
  <c r="AD103" i="13"/>
  <c r="AD91" i="13"/>
  <c r="AD79" i="13"/>
  <c r="AD67" i="13"/>
  <c r="AD55" i="13"/>
  <c r="AD43" i="13"/>
  <c r="X115" i="13"/>
  <c r="AC85" i="13"/>
  <c r="J33" i="13"/>
  <c r="AD49" i="13"/>
  <c r="AD96" i="13"/>
  <c r="Q99" i="13"/>
  <c r="Q51" i="13"/>
  <c r="P63" i="13"/>
  <c r="O72" i="13"/>
  <c r="T110" i="13"/>
  <c r="V84" i="13"/>
  <c r="W61" i="13"/>
  <c r="Z115" i="13"/>
  <c r="Z43" i="13"/>
  <c r="AA110" i="13"/>
  <c r="AA98" i="13"/>
  <c r="AA86" i="13"/>
  <c r="AA74" i="13"/>
  <c r="AA62" i="13"/>
  <c r="AA50" i="13"/>
  <c r="AC113" i="13"/>
  <c r="AC101" i="13"/>
  <c r="AC89" i="13"/>
  <c r="AC77" i="13"/>
  <c r="AC65" i="13"/>
  <c r="AC53" i="13"/>
  <c r="AC41" i="13"/>
  <c r="AD114" i="13"/>
  <c r="AD102" i="13"/>
  <c r="AD90" i="13"/>
  <c r="AD78" i="13"/>
  <c r="AD66" i="13"/>
  <c r="AD54" i="13"/>
  <c r="AD42" i="13"/>
  <c r="AC61" i="13"/>
  <c r="T50" i="13"/>
  <c r="AD85" i="13"/>
  <c r="Q89" i="13"/>
  <c r="P62" i="13"/>
  <c r="O71" i="13"/>
  <c r="T98" i="13"/>
  <c r="V83" i="13"/>
  <c r="W49" i="13"/>
  <c r="Z104" i="13"/>
  <c r="AA109" i="13"/>
  <c r="AA97" i="13"/>
  <c r="AA85" i="13"/>
  <c r="AA73" i="13"/>
  <c r="AA61" i="13"/>
  <c r="AA49" i="13"/>
  <c r="AC112" i="13"/>
  <c r="AC100" i="13"/>
  <c r="AC88" i="13"/>
  <c r="AC76" i="13"/>
  <c r="AC64" i="13"/>
  <c r="AC52" i="13"/>
  <c r="AC40" i="13"/>
  <c r="AD113" i="13"/>
  <c r="AD101" i="13"/>
  <c r="AD89" i="13"/>
  <c r="AD77" i="13"/>
  <c r="AD65" i="13"/>
  <c r="AD53" i="13"/>
  <c r="AD41" i="13"/>
  <c r="T86" i="13"/>
  <c r="V72" i="13"/>
  <c r="Z103" i="13"/>
  <c r="AA108" i="13"/>
  <c r="AA96" i="13"/>
  <c r="AA84" i="13"/>
  <c r="AA72" i="13"/>
  <c r="AA60" i="13"/>
  <c r="AA48" i="13"/>
  <c r="AC39" i="13"/>
  <c r="AD112" i="13"/>
  <c r="AD100" i="13"/>
  <c r="AD88" i="13"/>
  <c r="AD76" i="13"/>
  <c r="AD64" i="13"/>
  <c r="AD52" i="13"/>
  <c r="AD39" i="13"/>
  <c r="AC110" i="13"/>
  <c r="AC36" i="13"/>
  <c r="S73" i="13"/>
  <c r="T61" i="13"/>
  <c r="W60" i="13"/>
  <c r="X78" i="13"/>
  <c r="Q114" i="13"/>
  <c r="Q102" i="13"/>
  <c r="Q90" i="13"/>
  <c r="Q78" i="13"/>
  <c r="Q66" i="13"/>
  <c r="Q54" i="13"/>
  <c r="Q42" i="13"/>
  <c r="P112" i="13"/>
  <c r="P100" i="13"/>
  <c r="P88" i="13"/>
  <c r="P76" i="13"/>
  <c r="P64" i="13"/>
  <c r="P52" i="13"/>
  <c r="O110" i="13"/>
  <c r="O98" i="13"/>
  <c r="O86" i="13"/>
  <c r="O74" i="13"/>
  <c r="O62" i="13"/>
  <c r="O50" i="13"/>
  <c r="S111" i="13"/>
  <c r="S99" i="13"/>
  <c r="S87" i="13"/>
  <c r="S75" i="13"/>
  <c r="S63" i="13"/>
  <c r="S51" i="13"/>
  <c r="T111" i="13"/>
  <c r="T99" i="13"/>
  <c r="T87" i="13"/>
  <c r="T75" i="13"/>
  <c r="T63" i="13"/>
  <c r="T51" i="13"/>
  <c r="V109" i="13"/>
  <c r="V97" i="13"/>
  <c r="V85" i="13"/>
  <c r="V73" i="13"/>
  <c r="V61" i="13"/>
  <c r="V49" i="13"/>
  <c r="W110" i="13"/>
  <c r="W98" i="13"/>
  <c r="W86" i="13"/>
  <c r="W74" i="13"/>
  <c r="W62" i="13"/>
  <c r="W50" i="13"/>
  <c r="X116" i="13"/>
  <c r="X104" i="13"/>
  <c r="X92" i="13"/>
  <c r="X80" i="13"/>
  <c r="X68" i="13"/>
  <c r="X56" i="13"/>
  <c r="X44" i="13"/>
  <c r="Z117" i="13"/>
  <c r="Z105" i="13"/>
  <c r="Z93" i="13"/>
  <c r="Z81" i="13"/>
  <c r="Z69" i="13"/>
  <c r="Z57" i="13"/>
  <c r="Z45" i="13"/>
  <c r="R35" i="13" a="1"/>
  <c r="P109" i="13"/>
  <c r="P97" i="13"/>
  <c r="P85" i="13"/>
  <c r="P73" i="13"/>
  <c r="P61" i="13"/>
  <c r="P49" i="13"/>
  <c r="S108" i="13"/>
  <c r="S96" i="13"/>
  <c r="S84" i="13"/>
  <c r="S72" i="13"/>
  <c r="S60" i="13"/>
  <c r="S48" i="13"/>
  <c r="T108" i="13"/>
  <c r="T96" i="13"/>
  <c r="T84" i="13"/>
  <c r="T72" i="13"/>
  <c r="T60" i="13"/>
  <c r="T48" i="13"/>
  <c r="V118" i="13"/>
  <c r="V106" i="13"/>
  <c r="V94" i="13"/>
  <c r="V82" i="13"/>
  <c r="V70" i="13"/>
  <c r="V58" i="13"/>
  <c r="V46" i="13"/>
  <c r="W119" i="13"/>
  <c r="W107" i="13"/>
  <c r="W95" i="13"/>
  <c r="W83" i="13"/>
  <c r="W71" i="13"/>
  <c r="W59" i="13"/>
  <c r="W47" i="13"/>
  <c r="X113" i="13"/>
  <c r="X101" i="13"/>
  <c r="X89" i="13"/>
  <c r="X77" i="13"/>
  <c r="X65" i="13"/>
  <c r="X53" i="13"/>
  <c r="X41" i="13"/>
  <c r="Z114" i="13"/>
  <c r="Z102" i="13"/>
  <c r="Z90" i="13"/>
  <c r="Z78" i="13"/>
  <c r="Z66" i="13"/>
  <c r="Z54" i="13"/>
  <c r="Z42" i="13"/>
  <c r="O97" i="13"/>
  <c r="S49" i="13"/>
  <c r="W96" i="13"/>
  <c r="X66" i="13"/>
  <c r="P108" i="13"/>
  <c r="P96" i="13"/>
  <c r="P84" i="13"/>
  <c r="P72" i="13"/>
  <c r="P60" i="13"/>
  <c r="P48" i="13"/>
  <c r="O118" i="13"/>
  <c r="O106" i="13"/>
  <c r="O94" i="13"/>
  <c r="O82" i="13"/>
  <c r="O70" i="13"/>
  <c r="O58" i="13"/>
  <c r="O46" i="13"/>
  <c r="S119" i="13"/>
  <c r="S107" i="13"/>
  <c r="S95" i="13"/>
  <c r="S83" i="13"/>
  <c r="S71" i="13"/>
  <c r="S59" i="13"/>
  <c r="S47" i="13"/>
  <c r="T119" i="13"/>
  <c r="T107" i="13"/>
  <c r="T95" i="13"/>
  <c r="T83" i="13"/>
  <c r="T71" i="13"/>
  <c r="T59" i="13"/>
  <c r="T47" i="13"/>
  <c r="V117" i="13"/>
  <c r="V105" i="13"/>
  <c r="V93" i="13"/>
  <c r="V81" i="13"/>
  <c r="V69" i="13"/>
  <c r="V57" i="13"/>
  <c r="V45" i="13"/>
  <c r="W118" i="13"/>
  <c r="W106" i="13"/>
  <c r="W94" i="13"/>
  <c r="W82" i="13"/>
  <c r="W70" i="13"/>
  <c r="W58" i="13"/>
  <c r="W46" i="13"/>
  <c r="X112" i="13"/>
  <c r="X100" i="13"/>
  <c r="X88" i="13"/>
  <c r="X76" i="13"/>
  <c r="X64" i="13"/>
  <c r="X52" i="13"/>
  <c r="Z113" i="13"/>
  <c r="Z101" i="13"/>
  <c r="Z89" i="13"/>
  <c r="Z77" i="13"/>
  <c r="Z65" i="13"/>
  <c r="Z53" i="13"/>
  <c r="Z41" i="13"/>
  <c r="O85" i="13"/>
  <c r="S85" i="13"/>
  <c r="W108" i="13"/>
  <c r="Q109" i="13"/>
  <c r="Q97" i="13"/>
  <c r="Q85" i="13"/>
  <c r="Q73" i="13"/>
  <c r="Q61" i="13"/>
  <c r="Q49" i="13"/>
  <c r="P119" i="13"/>
  <c r="P107" i="13"/>
  <c r="P95" i="13"/>
  <c r="P83" i="13"/>
  <c r="P71" i="13"/>
  <c r="P59" i="13"/>
  <c r="P47" i="13"/>
  <c r="O117" i="13"/>
  <c r="O105" i="13"/>
  <c r="O93" i="13"/>
  <c r="O81" i="13"/>
  <c r="O69" i="13"/>
  <c r="O57" i="13"/>
  <c r="O45" i="13"/>
  <c r="S118" i="13"/>
  <c r="S106" i="13"/>
  <c r="S94" i="13"/>
  <c r="S82" i="13"/>
  <c r="S70" i="13"/>
  <c r="S58" i="13"/>
  <c r="S46" i="13"/>
  <c r="T118" i="13"/>
  <c r="T106" i="13"/>
  <c r="T94" i="13"/>
  <c r="T82" i="13"/>
  <c r="T70" i="13"/>
  <c r="T58" i="13"/>
  <c r="T46" i="13"/>
  <c r="V116" i="13"/>
  <c r="V104" i="13"/>
  <c r="V92" i="13"/>
  <c r="V80" i="13"/>
  <c r="V68" i="13"/>
  <c r="V56" i="13"/>
  <c r="V44" i="13"/>
  <c r="W117" i="13"/>
  <c r="W105" i="13"/>
  <c r="W93" i="13"/>
  <c r="W81" i="13"/>
  <c r="W69" i="13"/>
  <c r="W57" i="13"/>
  <c r="W45" i="13"/>
  <c r="X111" i="13"/>
  <c r="X99" i="13"/>
  <c r="X87" i="13"/>
  <c r="X75" i="13"/>
  <c r="X63" i="13"/>
  <c r="X51" i="13"/>
  <c r="Z112" i="13"/>
  <c r="Z100" i="13"/>
  <c r="Z88" i="13"/>
  <c r="Z76" i="13"/>
  <c r="Z64" i="13"/>
  <c r="Z52" i="13"/>
  <c r="O109" i="13"/>
  <c r="S109" i="13"/>
  <c r="T49" i="13"/>
  <c r="W48" i="13"/>
  <c r="K33" i="13"/>
  <c r="P118" i="13"/>
  <c r="P106" i="13"/>
  <c r="P94" i="13"/>
  <c r="P82" i="13"/>
  <c r="P70" i="13"/>
  <c r="P58" i="13"/>
  <c r="P46" i="13"/>
  <c r="O116" i="13"/>
  <c r="O104" i="13"/>
  <c r="O92" i="13"/>
  <c r="O80" i="13"/>
  <c r="O68" i="13"/>
  <c r="O56" i="13"/>
  <c r="O44" i="13"/>
  <c r="S117" i="13"/>
  <c r="S105" i="13"/>
  <c r="S93" i="13"/>
  <c r="S81" i="13"/>
  <c r="S69" i="13"/>
  <c r="S57" i="13"/>
  <c r="S45" i="13"/>
  <c r="T117" i="13"/>
  <c r="T105" i="13"/>
  <c r="T93" i="13"/>
  <c r="T81" i="13"/>
  <c r="T69" i="13"/>
  <c r="T57" i="13"/>
  <c r="T45" i="13"/>
  <c r="V115" i="13"/>
  <c r="V103" i="13"/>
  <c r="V91" i="13"/>
  <c r="V79" i="13"/>
  <c r="V67" i="13"/>
  <c r="V55" i="13"/>
  <c r="V43" i="13"/>
  <c r="X110" i="13"/>
  <c r="X98" i="13"/>
  <c r="X86" i="13"/>
  <c r="X74" i="13"/>
  <c r="X62" i="13"/>
  <c r="X50" i="13"/>
  <c r="Z111" i="13"/>
  <c r="Z99" i="13"/>
  <c r="Z87" i="13"/>
  <c r="Z75" i="13"/>
  <c r="Z63" i="13"/>
  <c r="Z51" i="13"/>
  <c r="O61" i="13"/>
  <c r="S97" i="13"/>
  <c r="X114" i="13"/>
  <c r="P117" i="13"/>
  <c r="P105" i="13"/>
  <c r="P93" i="13"/>
  <c r="P81" i="13"/>
  <c r="P69" i="13"/>
  <c r="P57" i="13"/>
  <c r="P45" i="13"/>
  <c r="O115" i="13"/>
  <c r="O103" i="13"/>
  <c r="O91" i="13"/>
  <c r="O79" i="13"/>
  <c r="O67" i="13"/>
  <c r="O55" i="13"/>
  <c r="O43" i="13"/>
  <c r="S116" i="13"/>
  <c r="S104" i="13"/>
  <c r="S92" i="13"/>
  <c r="S80" i="13"/>
  <c r="S68" i="13"/>
  <c r="S56" i="13"/>
  <c r="S44" i="13"/>
  <c r="T116" i="13"/>
  <c r="T104" i="13"/>
  <c r="T92" i="13"/>
  <c r="T80" i="13"/>
  <c r="T68" i="13"/>
  <c r="T56" i="13"/>
  <c r="T44" i="13"/>
  <c r="V114" i="13"/>
  <c r="V102" i="13"/>
  <c r="V90" i="13"/>
  <c r="V78" i="13"/>
  <c r="V66" i="13"/>
  <c r="V54" i="13"/>
  <c r="V42" i="13"/>
  <c r="X109" i="13"/>
  <c r="X97" i="13"/>
  <c r="X85" i="13"/>
  <c r="X73" i="13"/>
  <c r="X61" i="13"/>
  <c r="X49" i="13"/>
  <c r="Y35" i="13" a="1"/>
  <c r="Y35" i="13" s="1"/>
  <c r="Z40" i="13" s="1"/>
  <c r="Z110" i="13"/>
  <c r="Z98" i="13"/>
  <c r="Z86" i="13"/>
  <c r="Z74" i="13"/>
  <c r="Z62" i="13"/>
  <c r="Z50" i="13"/>
  <c r="T73" i="13"/>
  <c r="W84" i="13"/>
  <c r="X90" i="13"/>
  <c r="P116" i="13"/>
  <c r="P104" i="13"/>
  <c r="P92" i="13"/>
  <c r="P80" i="13"/>
  <c r="P68" i="13"/>
  <c r="P56" i="13"/>
  <c r="P44" i="13"/>
  <c r="O114" i="13"/>
  <c r="O102" i="13"/>
  <c r="O90" i="13"/>
  <c r="O78" i="13"/>
  <c r="O66" i="13"/>
  <c r="O54" i="13"/>
  <c r="O42" i="13"/>
  <c r="S115" i="13"/>
  <c r="S103" i="13"/>
  <c r="S91" i="13"/>
  <c r="S79" i="13"/>
  <c r="S67" i="13"/>
  <c r="S55" i="13"/>
  <c r="S43" i="13"/>
  <c r="T115" i="13"/>
  <c r="T103" i="13"/>
  <c r="T91" i="13"/>
  <c r="T79" i="13"/>
  <c r="T67" i="13"/>
  <c r="T55" i="13"/>
  <c r="T43" i="13"/>
  <c r="V113" i="13"/>
  <c r="V101" i="13"/>
  <c r="V89" i="13"/>
  <c r="V77" i="13"/>
  <c r="V65" i="13"/>
  <c r="V53" i="13"/>
  <c r="V41" i="13"/>
  <c r="W102" i="13"/>
  <c r="W54" i="13"/>
  <c r="W42" i="13"/>
  <c r="X108" i="13"/>
  <c r="X96" i="13"/>
  <c r="X84" i="13"/>
  <c r="X72" i="13"/>
  <c r="X60" i="13"/>
  <c r="X48" i="13"/>
  <c r="W72" i="13"/>
  <c r="P115" i="13"/>
  <c r="P103" i="13"/>
  <c r="P91" i="13"/>
  <c r="P79" i="13"/>
  <c r="P67" i="13"/>
  <c r="P55" i="13"/>
  <c r="P43" i="13"/>
  <c r="O113" i="13"/>
  <c r="O101" i="13"/>
  <c r="O89" i="13"/>
  <c r="O77" i="13"/>
  <c r="O65" i="13"/>
  <c r="O53" i="13"/>
  <c r="O41" i="13"/>
  <c r="S114" i="13"/>
  <c r="S102" i="13"/>
  <c r="S90" i="13"/>
  <c r="S78" i="13"/>
  <c r="S66" i="13"/>
  <c r="S54" i="13"/>
  <c r="S42" i="13"/>
  <c r="T114" i="13"/>
  <c r="T102" i="13"/>
  <c r="T90" i="13"/>
  <c r="T78" i="13"/>
  <c r="T66" i="13"/>
  <c r="T54" i="13"/>
  <c r="T42" i="13"/>
  <c r="V112" i="13"/>
  <c r="V100" i="13"/>
  <c r="V88" i="13"/>
  <c r="V76" i="13"/>
  <c r="V64" i="13"/>
  <c r="V52" i="13"/>
  <c r="X119" i="13"/>
  <c r="X107" i="13"/>
  <c r="X95" i="13"/>
  <c r="X83" i="13"/>
  <c r="X71" i="13"/>
  <c r="X59" i="13"/>
  <c r="X47" i="13"/>
  <c r="O112" i="13"/>
  <c r="O100" i="13"/>
  <c r="O88" i="13"/>
  <c r="O76" i="13"/>
  <c r="O64" i="13"/>
  <c r="O52" i="13"/>
  <c r="S113" i="13"/>
  <c r="S101" i="13"/>
  <c r="S89" i="13"/>
  <c r="S77" i="13"/>
  <c r="S65" i="13"/>
  <c r="S53" i="13"/>
  <c r="S41" i="13"/>
  <c r="T113" i="13"/>
  <c r="T101" i="13"/>
  <c r="T89" i="13"/>
  <c r="T77" i="13"/>
  <c r="T65" i="13"/>
  <c r="T53" i="13"/>
  <c r="T41" i="13"/>
  <c r="V111" i="13"/>
  <c r="V99" i="13"/>
  <c r="V87" i="13"/>
  <c r="V75" i="13"/>
  <c r="V63" i="13"/>
  <c r="V51" i="13"/>
  <c r="X118" i="13"/>
  <c r="X106" i="13"/>
  <c r="X94" i="13"/>
  <c r="X82" i="13"/>
  <c r="X70" i="13"/>
  <c r="X58" i="13"/>
  <c r="X46" i="13"/>
  <c r="S112" i="13"/>
  <c r="S100" i="13"/>
  <c r="S88" i="13"/>
  <c r="S76" i="13"/>
  <c r="S64" i="13"/>
  <c r="S52"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35"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35" i="13"/>
  <c r="AM72" i="13" l="1"/>
  <c r="AN72" i="13" s="1"/>
  <c r="AO72" i="13" s="1"/>
  <c r="AM50" i="13"/>
  <c r="AN50" i="13" s="1"/>
  <c r="AO50" i="13" s="1"/>
  <c r="AM46" i="13"/>
  <c r="AN46" i="13" s="1"/>
  <c r="AO46" i="13" s="1"/>
  <c r="AM108" i="13"/>
  <c r="AN108" i="13" s="1"/>
  <c r="AO108" i="13" s="1"/>
  <c r="AM62" i="13"/>
  <c r="AN62" i="13" s="1"/>
  <c r="AO62" i="13" s="1"/>
  <c r="AM66" i="13"/>
  <c r="AN66" i="13" s="1"/>
  <c r="AO66" i="13" s="1"/>
  <c r="AM103" i="13"/>
  <c r="AN103" i="13" s="1"/>
  <c r="AO103" i="13" s="1"/>
  <c r="AM115" i="13"/>
  <c r="AN115" i="13" s="1"/>
  <c r="AO115" i="13" s="1"/>
  <c r="AM60" i="13"/>
  <c r="AN60" i="13" s="1"/>
  <c r="AO60" i="13" s="1"/>
  <c r="AM110" i="13"/>
  <c r="AN110" i="13" s="1"/>
  <c r="AO110" i="13" s="1"/>
  <c r="AM78" i="13"/>
  <c r="AN78" i="13" s="1"/>
  <c r="AO78" i="13" s="1"/>
  <c r="AM104" i="13"/>
  <c r="AN104" i="13" s="1"/>
  <c r="AO104" i="13" s="1"/>
  <c r="AM90" i="13"/>
  <c r="AN90" i="13" s="1"/>
  <c r="AO90" i="13" s="1"/>
  <c r="AM88" i="13"/>
  <c r="AN88" i="13" s="1"/>
  <c r="AO88" i="13" s="1"/>
  <c r="AM100" i="13"/>
  <c r="AN100" i="13" s="1"/>
  <c r="AO100" i="13" s="1"/>
  <c r="AM48" i="13"/>
  <c r="AN48" i="13" s="1"/>
  <c r="AO48" i="13" s="1"/>
  <c r="AM96" i="13"/>
  <c r="AN96" i="13" s="1"/>
  <c r="AO96" i="13" s="1"/>
  <c r="AM111" i="13"/>
  <c r="AN111" i="13" s="1"/>
  <c r="AO111" i="13" s="1"/>
  <c r="AM102" i="13"/>
  <c r="AN102" i="13" s="1"/>
  <c r="AO102" i="13" s="1"/>
  <c r="AM53" i="13"/>
  <c r="AN53" i="13" s="1"/>
  <c r="AO53" i="13" s="1"/>
  <c r="AM92" i="13"/>
  <c r="AN92" i="13" s="1"/>
  <c r="AO92" i="13" s="1"/>
  <c r="AM65" i="13"/>
  <c r="AN65" i="13" s="1"/>
  <c r="AO65" i="13" s="1"/>
  <c r="O35" i="13"/>
  <c r="AM51" i="13"/>
  <c r="AN51" i="13" s="1"/>
  <c r="AO51" i="13" s="1"/>
  <c r="AM77" i="13"/>
  <c r="AN77" i="13" s="1"/>
  <c r="AO77" i="13" s="1"/>
  <c r="AM116" i="13"/>
  <c r="AN116" i="13" s="1"/>
  <c r="AO116" i="13" s="1"/>
  <c r="AM63" i="13"/>
  <c r="AN63" i="13" s="1"/>
  <c r="AO63" i="13" s="1"/>
  <c r="AM40" i="13"/>
  <c r="AN40" i="13" s="1"/>
  <c r="AO40" i="13" s="1"/>
  <c r="AM74" i="13"/>
  <c r="AN74" i="13" s="1"/>
  <c r="AO74" i="13" s="1"/>
  <c r="AM75" i="13"/>
  <c r="AN75" i="13" s="1"/>
  <c r="AO75" i="13" s="1"/>
  <c r="AM52" i="13"/>
  <c r="AN52" i="13" s="1"/>
  <c r="AO52" i="13" s="1"/>
  <c r="AM67" i="13"/>
  <c r="AN67" i="13" s="1"/>
  <c r="AO67" i="13" s="1"/>
  <c r="AM86" i="13"/>
  <c r="AN86" i="13" s="1"/>
  <c r="AO86" i="13" s="1"/>
  <c r="AM87" i="13"/>
  <c r="AN87" i="13" s="1"/>
  <c r="AO87" i="13" s="1"/>
  <c r="AM64" i="13"/>
  <c r="AN64" i="13" s="1"/>
  <c r="AO64" i="13" s="1"/>
  <c r="AM79" i="13"/>
  <c r="AN79" i="13" s="1"/>
  <c r="AO79" i="13" s="1"/>
  <c r="AM98" i="13"/>
  <c r="AN98" i="13" s="1"/>
  <c r="AO98" i="13" s="1"/>
  <c r="AM99" i="13"/>
  <c r="AN99" i="13" s="1"/>
  <c r="AO99" i="13" s="1"/>
  <c r="AM76" i="13"/>
  <c r="AN76" i="13" s="1"/>
  <c r="AO76" i="13" s="1"/>
  <c r="AM91" i="13"/>
  <c r="AN91" i="13" s="1"/>
  <c r="AO91" i="13" s="1"/>
  <c r="AM84" i="13"/>
  <c r="AN84" i="13" s="1"/>
  <c r="AO84" i="13" s="1"/>
  <c r="AM35" i="13"/>
  <c r="AM83" i="13"/>
  <c r="AN83" i="13" s="1"/>
  <c r="AO83" i="13" s="1"/>
  <c r="AP83" i="13"/>
  <c r="AM89" i="13"/>
  <c r="AN89" i="13" s="1"/>
  <c r="AO89" i="13" s="1"/>
  <c r="AM58" i="13"/>
  <c r="AN58" i="13" s="1"/>
  <c r="AO58" i="13" s="1"/>
  <c r="AP119" i="13"/>
  <c r="AM119" i="13"/>
  <c r="AN119" i="13" s="1"/>
  <c r="AO119" i="13" s="1"/>
  <c r="AM101" i="13"/>
  <c r="AN101" i="13" s="1"/>
  <c r="AO101" i="13" s="1"/>
  <c r="AM114" i="13"/>
  <c r="AN114" i="13" s="1"/>
  <c r="AO114" i="13" s="1"/>
  <c r="AP94" i="13"/>
  <c r="AM70" i="13"/>
  <c r="AN70" i="13" s="1"/>
  <c r="AO70" i="13" s="1"/>
  <c r="AM113" i="13"/>
  <c r="AN113" i="13" s="1"/>
  <c r="AO113" i="13" s="1"/>
  <c r="AM45" i="13"/>
  <c r="AN45" i="13" s="1"/>
  <c r="AO45" i="13" s="1"/>
  <c r="AM82" i="13"/>
  <c r="AN82" i="13" s="1"/>
  <c r="AO82" i="13" s="1"/>
  <c r="AM57" i="13"/>
  <c r="AN57" i="13" s="1"/>
  <c r="AO57" i="13" s="1"/>
  <c r="AM94" i="13"/>
  <c r="AN94" i="13" s="1"/>
  <c r="AO94" i="13" s="1"/>
  <c r="AM112" i="13"/>
  <c r="AN112" i="13" s="1"/>
  <c r="AO112" i="13" s="1"/>
  <c r="AP109" i="13"/>
  <c r="AM109" i="13"/>
  <c r="AN109" i="13" s="1"/>
  <c r="AO109" i="13" s="1"/>
  <c r="AM69" i="13"/>
  <c r="AN69" i="13" s="1"/>
  <c r="AO69" i="13" s="1"/>
  <c r="AM106" i="13"/>
  <c r="AN106" i="13" s="1"/>
  <c r="AO106" i="13" s="1"/>
  <c r="AP107" i="13"/>
  <c r="AM107" i="13"/>
  <c r="AN107" i="13" s="1"/>
  <c r="AO107" i="13" s="1"/>
  <c r="AM61" i="13"/>
  <c r="AN61" i="13" s="1"/>
  <c r="AO61" i="13" s="1"/>
  <c r="AP61" i="13"/>
  <c r="AM44" i="13"/>
  <c r="AN44" i="13" s="1"/>
  <c r="AO44" i="13" s="1"/>
  <c r="AM81" i="13"/>
  <c r="AN81" i="13" s="1"/>
  <c r="AO81" i="13" s="1"/>
  <c r="AM118" i="13"/>
  <c r="AN118" i="13" s="1"/>
  <c r="AO118" i="13" s="1"/>
  <c r="AP95" i="13"/>
  <c r="AM95" i="13"/>
  <c r="AN95" i="13" s="1"/>
  <c r="AO95" i="13" s="1"/>
  <c r="AM85" i="13"/>
  <c r="AN85" i="13" s="1"/>
  <c r="AO85" i="13" s="1"/>
  <c r="AP85" i="13"/>
  <c r="AP49" i="13"/>
  <c r="AM49" i="13"/>
  <c r="AN49" i="13" s="1"/>
  <c r="AO49" i="13" s="1"/>
  <c r="AM56" i="13"/>
  <c r="AN56" i="13" s="1"/>
  <c r="AO56" i="13" s="1"/>
  <c r="AM93" i="13"/>
  <c r="AN93" i="13" s="1"/>
  <c r="AO93" i="13" s="1"/>
  <c r="AM47" i="13"/>
  <c r="AN47" i="13" s="1"/>
  <c r="AO47" i="13" s="1"/>
  <c r="AP47" i="13"/>
  <c r="AP73" i="13"/>
  <c r="AM73" i="13"/>
  <c r="AN73" i="13" s="1"/>
  <c r="AO73" i="13" s="1"/>
  <c r="AM42" i="13"/>
  <c r="AN42" i="13" s="1"/>
  <c r="AO42" i="13" s="1"/>
  <c r="AM43" i="13"/>
  <c r="AN43" i="13" s="1"/>
  <c r="AO43" i="13" s="1"/>
  <c r="AM68" i="13"/>
  <c r="AN68" i="13" s="1"/>
  <c r="AO68" i="13" s="1"/>
  <c r="AM105" i="13"/>
  <c r="AN105" i="13" s="1"/>
  <c r="AO105" i="13" s="1"/>
  <c r="AP59" i="13"/>
  <c r="AM59" i="13"/>
  <c r="AN59" i="13" s="1"/>
  <c r="AO59" i="13" s="1"/>
  <c r="AP97" i="13"/>
  <c r="AM97" i="13"/>
  <c r="AN97" i="13" s="1"/>
  <c r="AO97" i="13" s="1"/>
  <c r="AM41" i="13"/>
  <c r="AN41" i="13" s="1"/>
  <c r="AO41" i="13" s="1"/>
  <c r="AM54" i="13"/>
  <c r="AN54" i="13" s="1"/>
  <c r="AO54" i="13" s="1"/>
  <c r="AM55" i="13"/>
  <c r="AN55" i="13" s="1"/>
  <c r="AO55" i="13" s="1"/>
  <c r="AM80" i="13"/>
  <c r="AN80" i="13" s="1"/>
  <c r="AO80" i="13" s="1"/>
  <c r="AM117" i="13"/>
  <c r="AN117" i="13" s="1"/>
  <c r="AO117" i="13" s="1"/>
  <c r="AP71" i="13"/>
  <c r="AM71" i="13"/>
  <c r="AN71" i="13" s="1"/>
  <c r="AO71" i="13" s="1"/>
  <c r="AM38" i="13"/>
  <c r="AM36" i="13"/>
  <c r="R35" i="13"/>
  <c r="Z38" i="13"/>
  <c r="Z36" i="13"/>
  <c r="Z39" i="13"/>
  <c r="V35" i="13"/>
  <c r="Z37" i="13"/>
  <c r="Z35" i="13"/>
  <c r="C36" i="13"/>
  <c r="H120" i="13" a="1"/>
  <c r="H120" i="13" s="1"/>
  <c r="B120" i="13" s="1"/>
  <c r="B13" i="15"/>
  <c r="B2" i="17"/>
  <c r="A2" i="15" s="1"/>
  <c r="G16" i="14"/>
  <c r="G34" i="14"/>
  <c r="G33" i="14"/>
  <c r="G31" i="14"/>
  <c r="G30" i="14"/>
  <c r="G28" i="14"/>
  <c r="G27" i="14"/>
  <c r="G25" i="14"/>
  <c r="G24" i="14"/>
  <c r="G22" i="14"/>
  <c r="G21" i="14"/>
  <c r="G19" i="14"/>
  <c r="G18" i="14"/>
  <c r="G15" i="14"/>
  <c r="G13" i="14"/>
  <c r="B42" i="15"/>
  <c r="B6" i="15"/>
  <c r="B3" i="15"/>
  <c r="B29" i="13"/>
  <c r="AT105" i="13"/>
  <c r="AV104" i="13"/>
  <c r="AU105" i="13"/>
  <c r="AW105" i="13"/>
  <c r="AS67" i="13"/>
  <c r="AS73" i="13"/>
  <c r="AS104" i="13"/>
  <c r="AS92" i="13"/>
  <c r="AS80" i="13"/>
  <c r="AS68" i="13"/>
  <c r="AS56" i="13"/>
  <c r="AV105" i="13"/>
  <c r="AS103" i="13"/>
  <c r="AS90" i="13"/>
  <c r="AS101" i="13"/>
  <c r="AS89" i="13"/>
  <c r="AS77" i="13"/>
  <c r="AS65" i="13"/>
  <c r="AS53" i="13"/>
  <c r="AS78" i="13"/>
  <c r="AS100" i="13"/>
  <c r="AS88" i="13"/>
  <c r="AS76" i="13"/>
  <c r="AS64" i="13"/>
  <c r="AS52" i="13"/>
  <c r="AS54" i="13"/>
  <c r="AS99" i="13"/>
  <c r="AS87" i="13"/>
  <c r="AS75" i="13"/>
  <c r="AS63" i="13"/>
  <c r="AS51" i="13"/>
  <c r="AS91" i="13"/>
  <c r="AS102" i="13"/>
  <c r="AS66" i="13"/>
  <c r="AS98" i="13"/>
  <c r="AS86" i="13"/>
  <c r="AS74" i="13"/>
  <c r="AS62" i="13"/>
  <c r="AS50" i="13"/>
  <c r="AS55" i="13"/>
  <c r="AS85" i="13"/>
  <c r="AS61" i="13"/>
  <c r="AS96" i="13"/>
  <c r="AS84" i="13"/>
  <c r="AS72" i="13"/>
  <c r="AS60" i="13"/>
  <c r="AS95" i="13"/>
  <c r="AS83" i="13"/>
  <c r="AS71" i="13"/>
  <c r="AS59" i="13"/>
  <c r="AS94" i="13"/>
  <c r="AS82" i="13"/>
  <c r="AS70" i="13"/>
  <c r="AS58" i="13"/>
  <c r="AS79" i="13"/>
  <c r="AS97" i="13"/>
  <c r="AS49" i="13"/>
  <c r="AS105" i="13"/>
  <c r="AS93" i="13"/>
  <c r="AS81" i="13"/>
  <c r="AS69" i="13"/>
  <c r="AS57" i="13"/>
  <c r="AW104" i="13"/>
  <c r="AU104" i="13"/>
  <c r="AT104" i="13"/>
  <c r="AT91" i="13"/>
  <c r="AT97" i="13"/>
  <c r="AT94" i="13"/>
  <c r="AU50" i="13"/>
  <c r="AW57" i="13"/>
  <c r="AT70" i="13"/>
  <c r="AU70" i="13"/>
  <c r="AV73" i="13"/>
  <c r="AT84" i="13"/>
  <c r="AW86" i="13"/>
  <c r="AW97" i="13"/>
  <c r="AT57" i="13"/>
  <c r="AU91" i="13"/>
  <c r="AU86" i="13"/>
  <c r="AT86" i="13"/>
  <c r="AU57" i="13"/>
  <c r="AT52" i="13"/>
  <c r="AW52" i="13"/>
  <c r="AV52" i="13"/>
  <c r="AU52" i="13"/>
  <c r="AU73" i="13"/>
  <c r="AT73" i="13"/>
  <c r="AW73" i="13"/>
  <c r="AT81" i="13"/>
  <c r="AW81" i="13"/>
  <c r="AV81" i="13"/>
  <c r="AU81" i="13"/>
  <c r="AW50" i="13"/>
  <c r="AT50" i="13"/>
  <c r="AV50" i="13"/>
  <c r="AU99" i="13"/>
  <c r="AW99" i="13"/>
  <c r="AT99" i="13"/>
  <c r="AV99" i="13"/>
  <c r="AV70" i="13"/>
  <c r="AW70" i="13"/>
  <c r="AU84" i="13"/>
  <c r="AV84" i="13"/>
  <c r="AV86" i="13"/>
  <c r="AW84" i="13"/>
  <c r="AW94" i="13"/>
  <c r="AV94" i="13"/>
  <c r="AU94" i="13"/>
  <c r="AV57" i="13"/>
  <c r="AV93" i="13"/>
  <c r="AU93" i="13"/>
  <c r="AW93" i="13"/>
  <c r="AT93" i="13"/>
  <c r="AV97" i="13"/>
  <c r="AU97" i="13"/>
  <c r="AV91" i="13"/>
  <c r="AW91" i="13"/>
  <c r="AU78" i="13"/>
  <c r="AT78" i="13"/>
  <c r="AV78" i="13"/>
  <c r="AW78" i="13"/>
  <c r="AV62" i="13"/>
  <c r="AW62" i="13"/>
  <c r="AT62" i="13"/>
  <c r="AU62" i="13"/>
  <c r="AW56" i="13"/>
  <c r="AV56" i="13"/>
  <c r="AT56" i="13"/>
  <c r="AU56" i="13"/>
  <c r="AT80" i="13"/>
  <c r="AW80" i="13"/>
  <c r="AU80" i="13"/>
  <c r="AV80" i="13"/>
  <c r="AV87" i="13"/>
  <c r="AU87" i="13"/>
  <c r="AW87" i="13"/>
  <c r="AT87" i="13"/>
  <c r="AT98" i="13"/>
  <c r="AU98" i="13"/>
  <c r="AV98" i="13"/>
  <c r="AW98" i="13"/>
  <c r="AT49" i="13"/>
  <c r="AW49" i="13"/>
  <c r="AV49" i="13"/>
  <c r="AU49" i="13"/>
  <c r="AV74" i="13"/>
  <c r="AW74" i="13"/>
  <c r="AT74" i="13"/>
  <c r="AU74" i="13"/>
  <c r="AT51" i="13"/>
  <c r="AW51" i="13"/>
  <c r="AV51" i="13"/>
  <c r="AU51" i="13"/>
  <c r="AT53" i="13"/>
  <c r="AV53" i="13"/>
  <c r="AW53" i="13"/>
  <c r="AU53" i="13"/>
  <c r="AW101" i="13"/>
  <c r="AU101" i="13"/>
  <c r="AT101" i="13"/>
  <c r="AV101" i="13"/>
  <c r="AW55" i="13"/>
  <c r="AT55" i="13"/>
  <c r="AV55" i="13"/>
  <c r="AU55" i="13"/>
  <c r="AU61" i="13"/>
  <c r="AT61" i="13"/>
  <c r="AV61" i="13"/>
  <c r="AW61" i="13"/>
  <c r="AT76" i="13"/>
  <c r="AU76" i="13"/>
  <c r="AV76" i="13"/>
  <c r="AW76" i="13"/>
  <c r="AV69" i="13"/>
  <c r="AW69" i="13"/>
  <c r="AU69" i="13"/>
  <c r="AT69" i="13"/>
  <c r="AW60" i="13"/>
  <c r="AV60" i="13"/>
  <c r="AT60" i="13"/>
  <c r="AU60" i="13"/>
  <c r="AW72" i="13"/>
  <c r="AV72" i="13"/>
  <c r="AT72" i="13"/>
  <c r="AU72" i="13"/>
  <c r="AU68" i="13"/>
  <c r="AT68" i="13"/>
  <c r="AW68" i="13"/>
  <c r="AV68" i="13"/>
  <c r="AW102" i="13"/>
  <c r="AV102" i="13"/>
  <c r="AT102" i="13"/>
  <c r="AU102" i="13"/>
  <c r="AT88" i="13"/>
  <c r="AU88" i="13"/>
  <c r="AW88" i="13"/>
  <c r="AV88" i="13"/>
  <c r="AV96" i="13"/>
  <c r="AU96" i="13"/>
  <c r="AT96" i="13"/>
  <c r="AW96" i="13"/>
  <c r="AT65" i="13"/>
  <c r="AW65" i="13"/>
  <c r="AV65" i="13"/>
  <c r="AU65" i="13"/>
  <c r="AV90" i="13"/>
  <c r="AU90" i="13"/>
  <c r="AW90" i="13"/>
  <c r="AT90" i="13"/>
  <c r="AV95" i="13"/>
  <c r="AT95" i="13"/>
  <c r="AW95" i="13"/>
  <c r="AU95" i="13"/>
  <c r="AT103" i="13"/>
  <c r="AW103" i="13"/>
  <c r="AU103" i="13"/>
  <c r="AV103" i="13"/>
  <c r="AT82" i="13"/>
  <c r="AW82" i="13"/>
  <c r="AV82" i="13"/>
  <c r="AU82" i="13"/>
  <c r="AW59" i="13"/>
  <c r="AV59" i="13"/>
  <c r="AU59" i="13"/>
  <c r="AT59" i="13"/>
  <c r="AU77" i="13"/>
  <c r="AT77" i="13"/>
  <c r="AW77" i="13"/>
  <c r="AV77" i="13"/>
  <c r="AW67" i="13"/>
  <c r="AT67" i="13"/>
  <c r="AV67" i="13"/>
  <c r="AU67" i="13"/>
  <c r="AW64" i="13"/>
  <c r="AT64" i="13"/>
  <c r="AU64" i="13"/>
  <c r="AV64" i="13"/>
  <c r="AT85" i="13"/>
  <c r="AW85" i="13"/>
  <c r="AV85" i="13"/>
  <c r="AU85" i="13"/>
  <c r="AT89" i="13"/>
  <c r="AV89" i="13"/>
  <c r="AW89" i="13"/>
  <c r="AU89" i="13"/>
  <c r="AT54" i="13"/>
  <c r="AU54" i="13"/>
  <c r="AV54" i="13"/>
  <c r="AW54" i="13"/>
  <c r="AT75" i="13"/>
  <c r="AW75" i="13"/>
  <c r="AU75" i="13"/>
  <c r="AV75" i="13"/>
  <c r="AT92" i="13"/>
  <c r="AU92" i="13"/>
  <c r="AV92" i="13"/>
  <c r="AW92" i="13"/>
  <c r="AW100" i="13"/>
  <c r="AV100" i="13"/>
  <c r="AU100" i="13"/>
  <c r="AT100" i="13"/>
  <c r="AT58" i="13"/>
  <c r="AV58" i="13"/>
  <c r="AU58" i="13"/>
  <c r="AW58" i="13"/>
  <c r="AT71" i="13"/>
  <c r="AW71" i="13"/>
  <c r="AU71" i="13"/>
  <c r="AV71" i="13"/>
  <c r="AT83" i="13"/>
  <c r="AV83" i="13"/>
  <c r="AW83" i="13"/>
  <c r="AU83" i="13"/>
  <c r="AT63" i="13"/>
  <c r="AW63" i="13"/>
  <c r="AV63" i="13"/>
  <c r="AU63" i="13"/>
  <c r="AV66" i="13"/>
  <c r="AW66" i="13"/>
  <c r="AU66" i="13"/>
  <c r="AT66" i="13"/>
  <c r="AT79" i="13"/>
  <c r="AW79" i="13"/>
  <c r="AU79" i="13"/>
  <c r="AV79" i="13"/>
  <c r="AN35" i="13" l="1"/>
  <c r="AO35" i="13" s="1"/>
  <c r="S35" i="13"/>
  <c r="S40" i="13"/>
  <c r="AN38" i="13"/>
  <c r="AO38" i="13" s="1"/>
  <c r="A41" i="15"/>
  <c r="B1" i="13"/>
  <c r="W26" i="13"/>
  <c r="AN36" i="13"/>
  <c r="AN37" i="13"/>
  <c r="AN39" i="13"/>
  <c r="S36" i="13"/>
  <c r="S39" i="13"/>
  <c r="S37" i="13"/>
  <c r="C37" i="13"/>
  <c r="C38" i="13" s="1"/>
  <c r="O36" i="13"/>
  <c r="V36" i="13"/>
  <c r="S38" i="13"/>
  <c r="M35" i="13"/>
  <c r="A70" i="15"/>
  <c r="AP35" i="13" l="1"/>
  <c r="AP38" i="13"/>
  <c r="AO39" i="13"/>
  <c r="AP39" i="13"/>
  <c r="AO36" i="13"/>
  <c r="AP36" i="13"/>
  <c r="AP37" i="13"/>
  <c r="AO37" i="13"/>
  <c r="O37" i="13"/>
  <c r="V37" i="13"/>
  <c r="A83" i="15"/>
  <c r="AG20" i="13"/>
  <c r="AS21" i="13"/>
  <c r="AS24" i="13"/>
  <c r="AS20" i="13"/>
  <c r="AV20" i="13" s="1"/>
  <c r="AS23" i="13"/>
  <c r="C39" i="13" l="1"/>
  <c r="V38" i="13"/>
  <c r="O38" i="13"/>
  <c r="AS22" i="13"/>
  <c r="O39" i="13" l="1"/>
  <c r="V39" i="13"/>
  <c r="C40" i="13"/>
  <c r="Q40" i="13" l="1"/>
  <c r="T40" i="13" s="1"/>
  <c r="O40" i="13"/>
  <c r="P40" i="13" s="1"/>
  <c r="C25" i="13"/>
  <c r="P13" i="13"/>
  <c r="V40" i="13"/>
  <c r="P37" i="13" l="1"/>
  <c r="P39" i="13"/>
  <c r="P38" i="13"/>
  <c r="P35" i="13"/>
  <c r="P36" i="13"/>
  <c r="W38" i="13"/>
  <c r="W35" i="13"/>
  <c r="L33" i="13"/>
  <c r="W21" i="13"/>
  <c r="O32" i="13"/>
  <c r="W40" i="13"/>
  <c r="X40" i="13" s="1"/>
  <c r="AA40" i="13" s="1"/>
  <c r="W36" i="13"/>
  <c r="W39" i="13"/>
  <c r="W37" i="13"/>
  <c r="X38" i="13" l="1"/>
  <c r="AA38" i="13" s="1"/>
  <c r="AD21" i="13" l="1"/>
  <c r="AD20" i="13"/>
  <c r="C22" i="13" l="1"/>
  <c r="B19" i="15" s="1"/>
  <c r="P27" i="13"/>
  <c r="P21" i="13"/>
  <c r="AD23" i="13"/>
  <c r="C23" i="13"/>
  <c r="B20" i="15" s="1"/>
  <c r="AD22" i="13"/>
  <c r="D23" i="13"/>
  <c r="C20" i="15" s="1"/>
  <c r="E23" i="13"/>
  <c r="D20" i="15" s="1"/>
  <c r="F23" i="13"/>
  <c r="E20" i="15" s="1"/>
  <c r="W27" i="13"/>
  <c r="F22" i="13"/>
  <c r="E19" i="15" s="1"/>
  <c r="AV21" i="13"/>
  <c r="D22" i="13"/>
  <c r="C19" i="15" s="1"/>
  <c r="AM20" i="13"/>
  <c r="AM24" i="13" s="1"/>
  <c r="AM25" i="13" s="1"/>
  <c r="AM26" i="13" s="1"/>
  <c r="E22" i="13"/>
  <c r="D19" i="15" s="1"/>
  <c r="B22" i="15"/>
  <c r="E27" i="13" l="1"/>
  <c r="C27" i="13"/>
  <c r="AD24" i="13"/>
  <c r="AD25" i="13" s="1"/>
  <c r="AD26" i="13" s="1"/>
  <c r="C30" i="13"/>
  <c r="AM21" i="13" l="1"/>
  <c r="AM22" i="13"/>
  <c r="E30" i="13"/>
  <c r="B36" i="15"/>
  <c r="AM23" i="13" l="1"/>
  <c r="AP20" i="13" s="1"/>
  <c r="AP21" i="13" s="1"/>
  <c r="P26" i="13" l="1"/>
  <c r="P23" i="13" s="1"/>
  <c r="W23" i="13"/>
  <c r="X39" i="13" l="1"/>
  <c r="AA39" i="13" s="1"/>
  <c r="X37" i="13" l="1"/>
  <c r="X36" i="13" s="1"/>
  <c r="AA36" i="13" s="1"/>
  <c r="X35" i="13"/>
  <c r="AA35" i="13"/>
  <c r="W20" i="13"/>
  <c r="Q38" i="13"/>
  <c r="Q39" i="13"/>
  <c r="Q35" i="13" s="1"/>
  <c r="T35" i="13" s="1"/>
  <c r="T39" i="13"/>
  <c r="Q36" i="13"/>
  <c r="T36" i="13" s="1"/>
  <c r="T38" i="13"/>
  <c r="P20" i="13" l="1"/>
  <c r="Q37" i="13" s="1"/>
  <c r="T37" i="13" s="1"/>
  <c r="P30" i="13" s="1"/>
  <c r="P22" i="13" s="1"/>
  <c r="P24" i="13" s="1"/>
  <c r="P25" i="13" s="1"/>
  <c r="P28" i="13" s="1"/>
  <c r="P29" i="13" s="1"/>
  <c r="AA37" i="13"/>
  <c r="W30" i="13" s="1"/>
  <c r="W22" i="13" s="1"/>
  <c r="W24" i="13" s="1"/>
  <c r="W25" i="13" s="1"/>
  <c r="W28" i="13" s="1"/>
  <c r="W29" i="13" s="1"/>
  <c r="C26" i="13" l="1"/>
  <c r="E26" i="13"/>
  <c r="B30" i="15" l="1"/>
  <c r="C29" i="13" a="1"/>
  <c r="C29" i="13" s="1"/>
  <c r="E29" i="13" s="1" a="1"/>
  <c r="E29" i="13" s="1"/>
  <c r="B28" i="15"/>
  <c r="AJ20" i="13" a="1"/>
  <c r="AJ20" i="13" s="1"/>
  <c r="C28" i="13" s="1"/>
  <c r="E28" i="13" s="1" a="1"/>
  <c r="E28" i="13" s="1"/>
  <c r="B32" i="15" l="1"/>
  <c r="A31" i="15" a="1"/>
  <c r="A31" i="15" s="1"/>
  <c r="B34" i="15" a="1"/>
  <c r="B34" i="15" s="1"/>
  <c r="A39" i="15" s="1" a="1"/>
  <c r="A39"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tc={BC372544-D94E-4C57-BEEF-21BDA9C8F7C6}</author>
  </authors>
  <commentList>
    <comment ref="A10" authorId="0" shapeId="0" xr:uid="{BC372544-D94E-4C57-BEEF-21BDA9C8F7C6}">
      <text>
        <t xml:space="preserve">[Threaded comment]
Your version of Excel allows you to read this threaded comment; however, any edits to it will get removed if the file is opened in a newer version of Excel. Learn more: https://go.microsoft.com/fwlink/?linkid=870924
Comment:
    Merge these into one table. You can reference a table column from a table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<sst xmlns="http://schemas.openxmlformats.org/spreadsheetml/2006/main" count="659" uniqueCount="488">
  <si>
    <t>Tool Instructions and Layout</t>
  </si>
  <si>
    <t>Cell Legend:</t>
  </si>
  <si>
    <t>Required</t>
  </si>
  <si>
    <t>Complete</t>
  </si>
  <si>
    <t>Optional</t>
  </si>
  <si>
    <t>Autopopulated</t>
  </si>
  <si>
    <t>Monitoring Design</t>
  </si>
  <si>
    <t>Side by side</t>
  </si>
  <si>
    <t>Treatment Station ID</t>
  </si>
  <si>
    <t>Significance Level</t>
  </si>
  <si>
    <t>Total N</t>
  </si>
  <si>
    <t>Yield</t>
  </si>
  <si>
    <t>Treatment Description</t>
  </si>
  <si>
    <t>Mean</t>
  </si>
  <si>
    <t>Variance</t>
  </si>
  <si>
    <t>Median</t>
  </si>
  <si>
    <t>IQR</t>
  </si>
  <si>
    <t>SWR Test</t>
  </si>
  <si>
    <t>Mann-Whitney U Test</t>
  </si>
  <si>
    <t>F-Test</t>
  </si>
  <si>
    <t>T-Test</t>
  </si>
  <si>
    <t>Wilcoxon Signed Rank Test</t>
  </si>
  <si>
    <t>Critical Value/Difference</t>
  </si>
  <si>
    <t>Control</t>
  </si>
  <si>
    <t>Treatment</t>
  </si>
  <si>
    <t>φ =</t>
  </si>
  <si>
    <t>W_numerator</t>
  </si>
  <si>
    <t>R1=</t>
  </si>
  <si>
    <t>p-value=</t>
  </si>
  <si>
    <t>n=</t>
  </si>
  <si>
    <t>z-score=</t>
  </si>
  <si>
    <t>df_w=</t>
  </si>
  <si>
    <t>Fisher LSD SF=</t>
  </si>
  <si>
    <t>σ=</t>
  </si>
  <si>
    <t>W_denominator</t>
  </si>
  <si>
    <t>R2=</t>
  </si>
  <si>
    <t>pos rank sum=</t>
  </si>
  <si>
    <t>SS_w=</t>
  </si>
  <si>
    <t xml:space="preserve">CV= </t>
  </si>
  <si>
    <t>Count</t>
  </si>
  <si>
    <t>W=</t>
  </si>
  <si>
    <t>U1=</t>
  </si>
  <si>
    <t>neg rank sum=</t>
  </si>
  <si>
    <t>MS_w=</t>
  </si>
  <si>
    <t>Normality</t>
  </si>
  <si>
    <t>w=</t>
  </si>
  <si>
    <t>U2=</t>
  </si>
  <si>
    <t>T=</t>
  </si>
  <si>
    <t>N_control=</t>
  </si>
  <si>
    <t>Denominator:</t>
  </si>
  <si>
    <t>U=</t>
  </si>
  <si>
    <t>mean=</t>
  </si>
  <si>
    <t>N_trtment=</t>
  </si>
  <si>
    <t>μ=</t>
  </si>
  <si>
    <t>z=</t>
  </si>
  <si>
    <t>variance=</t>
  </si>
  <si>
    <t>std dev=</t>
  </si>
  <si>
    <t>Critical Difference</t>
  </si>
  <si>
    <t>Sum_a*x:</t>
  </si>
  <si>
    <t>Values used for Calcs</t>
  </si>
  <si>
    <t>Sample #</t>
  </si>
  <si>
    <t>Date</t>
  </si>
  <si>
    <t>ct_vals</t>
  </si>
  <si>
    <t>tx_vals</t>
  </si>
  <si>
    <t>m_i</t>
  </si>
  <si>
    <t>c_i</t>
  </si>
  <si>
    <t>a_i</t>
  </si>
  <si>
    <t>sort(x_i)</t>
  </si>
  <si>
    <t>(x_i-x_bar)^2</t>
  </si>
  <si>
    <t>a_i*x_i</t>
  </si>
  <si>
    <t>control (ranks)</t>
  </si>
  <si>
    <t>trtment (ranks)</t>
  </si>
  <si>
    <t>diff</t>
  </si>
  <si>
    <t>abs_diff</t>
  </si>
  <si>
    <t>rank_abs_diff</t>
  </si>
  <si>
    <t>pos_rank</t>
  </si>
  <si>
    <t>neg_rank</t>
  </si>
  <si>
    <t xml:space="preserve">Statistical Analysis of Discrete Water Quality Samples </t>
  </si>
  <si>
    <t>Date:</t>
  </si>
  <si>
    <t>Project Information</t>
  </si>
  <si>
    <t>Monitoring Partner:</t>
  </si>
  <si>
    <t>Monitoring Design:</t>
  </si>
  <si>
    <t>Control Station ID:</t>
  </si>
  <si>
    <t>Treatment Station ID:</t>
  </si>
  <si>
    <t>Treatment Practice:</t>
  </si>
  <si>
    <t>Description of Treatment</t>
  </si>
  <si>
    <t>Analysis Results</t>
  </si>
  <si>
    <t>Descriptive Statistics</t>
  </si>
  <si>
    <t># of Events Sampled:</t>
  </si>
  <si>
    <t>Significance of Effect</t>
  </si>
  <si>
    <t>Significance Level (Alpha):</t>
  </si>
  <si>
    <t>The value of Alpha indicates the level of confidence that the data is significant and not due to chance.</t>
  </si>
  <si>
    <t>Normality:</t>
  </si>
  <si>
    <t>This value shows whether the data is drawn from a normal distribution (looks like a bell curve).  This value determines what statistical test is used.</t>
  </si>
  <si>
    <t>Statistical Test Used:</t>
  </si>
  <si>
    <t>Treatment Effect:</t>
  </si>
  <si>
    <t>The effect indicates the level of difference between the control and treatment sites at the level of Alpha.</t>
  </si>
  <si>
    <t>P-Value:</t>
  </si>
  <si>
    <t>The p-value is the probability of how likely that the data occurred by random chance.</t>
  </si>
  <si>
    <t>Critical Difference:</t>
  </si>
  <si>
    <t>The critical difference is the smallest significant difference between two means.</t>
  </si>
  <si>
    <t>Description of Results</t>
  </si>
  <si>
    <t>Figures</t>
  </si>
  <si>
    <t>Values Used by Functions in the UI</t>
  </si>
  <si>
    <t>practice</t>
  </si>
  <si>
    <t>parameter</t>
  </si>
  <si>
    <t>cps_code</t>
  </si>
  <si>
    <t>cps_name</t>
  </si>
  <si>
    <t>metric</t>
  </si>
  <si>
    <t>unit</t>
  </si>
  <si>
    <t>conv_fact</t>
  </si>
  <si>
    <t>Alphas</t>
  </si>
  <si>
    <t>Comparison Type</t>
  </si>
  <si>
    <t>Agrichemical Handling Facility</t>
  </si>
  <si>
    <t>Qpeak</t>
  </si>
  <si>
    <t>Flow</t>
  </si>
  <si>
    <t>cfs</t>
  </si>
  <si>
    <t>Alley Cropping</t>
  </si>
  <si>
    <t>Qtotal</t>
  </si>
  <si>
    <t>Volume</t>
  </si>
  <si>
    <t>cu. ft.</t>
  </si>
  <si>
    <t>Above and below</t>
  </si>
  <si>
    <t>Waste Storage Facility</t>
  </si>
  <si>
    <t>Depth</t>
  </si>
  <si>
    <t>in.</t>
  </si>
  <si>
    <t>Brush Management</t>
  </si>
  <si>
    <t>Concentration</t>
  </si>
  <si>
    <t>mg/L</t>
  </si>
  <si>
    <t>Herbaceous Weed Treatment</t>
  </si>
  <si>
    <t>Load</t>
  </si>
  <si>
    <t>lbs.</t>
  </si>
  <si>
    <t>Animal Mortality Facility</t>
  </si>
  <si>
    <t>lbs./ac.</t>
  </si>
  <si>
    <t>Composting Facility</t>
  </si>
  <si>
    <t>NH4</t>
  </si>
  <si>
    <t xml:space="preserve">Short Term Storage of Animal Waste and </t>
  </si>
  <si>
    <t>On-Farm Secondary Containment Facility</t>
  </si>
  <si>
    <t>Irrigation Canal or Lateral</t>
  </si>
  <si>
    <t>NO3+NO2</t>
  </si>
  <si>
    <t>Deep Tillage</t>
  </si>
  <si>
    <t>High Tunnel System</t>
  </si>
  <si>
    <t>Clearing and Snagging</t>
  </si>
  <si>
    <t>TKN</t>
  </si>
  <si>
    <t>Conservation Cover</t>
  </si>
  <si>
    <t>Conservation Crop Rotation</t>
  </si>
  <si>
    <t>Residue and Tillage Management, No Till</t>
  </si>
  <si>
    <t>Total P</t>
  </si>
  <si>
    <t>Contour Farming</t>
  </si>
  <si>
    <t>Contour Orchard and Other Perennial Cro</t>
  </si>
  <si>
    <t>Contour Buffer Strips</t>
  </si>
  <si>
    <t>DRP</t>
  </si>
  <si>
    <t>Amending Soil Properties with Gypsum Pr</t>
  </si>
  <si>
    <t>Controlled Traffic Farming</t>
  </si>
  <si>
    <t>Prescribed Burning</t>
  </si>
  <si>
    <t>TSS</t>
  </si>
  <si>
    <t>Cover Crop</t>
  </si>
  <si>
    <t>Critical Area Planting</t>
  </si>
  <si>
    <t>Residue and Tillage Management, Reduced</t>
  </si>
  <si>
    <t>Dam, Diversion</t>
  </si>
  <si>
    <t>Sediment Basin</t>
  </si>
  <si>
    <t>Well Decommissioning</t>
  </si>
  <si>
    <t>Dike or Levee</t>
  </si>
  <si>
    <t>Waste Treatment Lagoon</t>
  </si>
  <si>
    <t>Waste Facility Closure</t>
  </si>
  <si>
    <t>Diversion</t>
  </si>
  <si>
    <t>Anaerobic Digestion</t>
  </si>
  <si>
    <t>Roofs and Covers</t>
  </si>
  <si>
    <t>Emergency Animal Mortality Management</t>
  </si>
  <si>
    <t>Air Filtration and Scrubbing</t>
  </si>
  <si>
    <t>Combustion System Improvement</t>
  </si>
  <si>
    <t>Dust Control on Unpaved Roads and Surfa</t>
  </si>
  <si>
    <t>Energy Efficient Agricultural Operation</t>
  </si>
  <si>
    <t>Dust Management for Pen Surfaces</t>
  </si>
  <si>
    <t>Field Operations Emissions Reduction</t>
  </si>
  <si>
    <t>Pond</t>
  </si>
  <si>
    <t>Forest Farming</t>
  </si>
  <si>
    <t>Windbreak/Shelterbelt Est/Renovation</t>
  </si>
  <si>
    <t>Silvopasture</t>
  </si>
  <si>
    <t>Fence</t>
  </si>
  <si>
    <t>Fuel Break</t>
  </si>
  <si>
    <t>Woody Residue Treatment</t>
  </si>
  <si>
    <t>Field Border</t>
  </si>
  <si>
    <t>Irrigation Field Ditch</t>
  </si>
  <si>
    <t>Riparian Herbaceous Cover</t>
  </si>
  <si>
    <t>Riparian Forest Buffer</t>
  </si>
  <si>
    <t>Filter Strip</t>
  </si>
  <si>
    <t>Firebreak</t>
  </si>
  <si>
    <t>Stream Habitat Improvement and Manageme</t>
  </si>
  <si>
    <t>Aquatic Organism Passage</t>
  </si>
  <si>
    <t>Aquaculture Pond</t>
  </si>
  <si>
    <t>Fish Raceway or Tank</t>
  </si>
  <si>
    <t>Fishpond Management</t>
  </si>
  <si>
    <t>Bivalve Aquaculture Gear and Biofouling</t>
  </si>
  <si>
    <t>Dam</t>
  </si>
  <si>
    <t>Grade Stabilization Structure</t>
  </si>
  <si>
    <t>Grassed Waterway</t>
  </si>
  <si>
    <t>Wildlife Habitat Planting</t>
  </si>
  <si>
    <t>Hedgerow Planting</t>
  </si>
  <si>
    <t>Hillside Ditch</t>
  </si>
  <si>
    <t>Irrigation Ditch Lining</t>
  </si>
  <si>
    <t>Irrigation Pipeline</t>
  </si>
  <si>
    <t>Dry Hydrant</t>
  </si>
  <si>
    <t>Irrigation Reservoir</t>
  </si>
  <si>
    <t>Irrigation System, Microirrigation</t>
  </si>
  <si>
    <t>Sprinkler System</t>
  </si>
  <si>
    <t>Irrigation System, Surface and Subsurfa</t>
  </si>
  <si>
    <t>Irrigation and Drainage Tailwater Recov</t>
  </si>
  <si>
    <t>Irrigation Water Management</t>
  </si>
  <si>
    <t>Anionic Polyacrylamide (PAM) Applicatio</t>
  </si>
  <si>
    <t>Land Reclamation, Landslide Treatment</t>
  </si>
  <si>
    <t>Land Reclamation, Toxic Discharge Ctrl</t>
  </si>
  <si>
    <t>Mine Shaft and Adit Closing</t>
  </si>
  <si>
    <t>Land Clearing</t>
  </si>
  <si>
    <t>Precision Land Forming and Smoothing</t>
  </si>
  <si>
    <t>Irrigation Land Leveling</t>
  </si>
  <si>
    <t>Lined Waterway or Outlet</t>
  </si>
  <si>
    <t>Access Control</t>
  </si>
  <si>
    <t>Mulching</t>
  </si>
  <si>
    <t>Tree/Shrub Site Preparation</t>
  </si>
  <si>
    <t>Obstruction Removal</t>
  </si>
  <si>
    <t>Forage Harvest Management</t>
  </si>
  <si>
    <t>Pasture and Hay Planting</t>
  </si>
  <si>
    <t>Livestock Pipeline</t>
  </si>
  <si>
    <t xml:space="preserve">Pond Sealing or Lining, Compacted Soil </t>
  </si>
  <si>
    <t xml:space="preserve">Pond Sealing or Lining, Geomembrane or </t>
  </si>
  <si>
    <t>Pond Sealing or Lining - Concrete</t>
  </si>
  <si>
    <t>Sinkhole Treatment</t>
  </si>
  <si>
    <t>Prescribed Grazing</t>
  </si>
  <si>
    <t>Pumping Plant</t>
  </si>
  <si>
    <t>Land Reclamation, Abandoned Mined Land</t>
  </si>
  <si>
    <t>Land Reclamation, Currently Mined Land</t>
  </si>
  <si>
    <t>Grazing Land Mechanical Treatment</t>
  </si>
  <si>
    <t>Range Planting</t>
  </si>
  <si>
    <t>Drainage Water Management</t>
  </si>
  <si>
    <t>Rock Wall Terrace</t>
  </si>
  <si>
    <t>Row Arrangement</t>
  </si>
  <si>
    <t>Roof Runoff Structure</t>
  </si>
  <si>
    <t>Access Road</t>
  </si>
  <si>
    <t>Heavy Use Area Protection</t>
  </si>
  <si>
    <t>Recreation Area Improvement</t>
  </si>
  <si>
    <t>Stormwater Runoff Control</t>
  </si>
  <si>
    <t>Spoil Disposal</t>
  </si>
  <si>
    <t>Spring Development</t>
  </si>
  <si>
    <t>Trails and Walkways</t>
  </si>
  <si>
    <t>Livestock Shelter Structure</t>
  </si>
  <si>
    <t>Streambank and Shoreline Protection</t>
  </si>
  <si>
    <t>Open Channel</t>
  </si>
  <si>
    <t>Channel Bed Stabilization</t>
  </si>
  <si>
    <t>Stripcropping</t>
  </si>
  <si>
    <t>Structure for Water Control</t>
  </si>
  <si>
    <t>Crosswind Ridges</t>
  </si>
  <si>
    <t>Cross Wind Trap Strips</t>
  </si>
  <si>
    <t>Nutrient Management</t>
  </si>
  <si>
    <t>Amendments for Treatment of Agricultura</t>
  </si>
  <si>
    <t>Feed Management</t>
  </si>
  <si>
    <t>Pest Management Conservation System</t>
  </si>
  <si>
    <t>Terrace</t>
  </si>
  <si>
    <t>Vegetative Barrier</t>
  </si>
  <si>
    <t>Herbaceous Wind Barriers</t>
  </si>
  <si>
    <t>Saturated Buffer</t>
  </si>
  <si>
    <t>Denitrifying Bioreactor</t>
  </si>
  <si>
    <t>Subsurface Drain</t>
  </si>
  <si>
    <t>Surface Drain, Field Ditch</t>
  </si>
  <si>
    <t>Surface Drain, Main or Lateral</t>
  </si>
  <si>
    <t>Surface Roughening</t>
  </si>
  <si>
    <t>Salinity and Sodic Soil Management</t>
  </si>
  <si>
    <t>Tree/Shrub Establishment</t>
  </si>
  <si>
    <t>Watering Facility</t>
  </si>
  <si>
    <t>Underground Outlet</t>
  </si>
  <si>
    <t>Waste Treatment</t>
  </si>
  <si>
    <t>Vertical Drain</t>
  </si>
  <si>
    <t>Waste Separation Facility</t>
  </si>
  <si>
    <t>Waste Recycling</t>
  </si>
  <si>
    <t>Waste Transfer</t>
  </si>
  <si>
    <t>Vegetated Treatment Area</t>
  </si>
  <si>
    <t>Water Harvesting Catchment</t>
  </si>
  <si>
    <t>Water and Sediment Control Basin</t>
  </si>
  <si>
    <t>Waterspreading</t>
  </si>
  <si>
    <t>Water Well</t>
  </si>
  <si>
    <t>Restoration of Rare or Declining Natura</t>
  </si>
  <si>
    <t>Wetland Wildlife Habitat Management</t>
  </si>
  <si>
    <t>Upland Wildlife Habitat Management</t>
  </si>
  <si>
    <t>Shallow Water Development and Managemen</t>
  </si>
  <si>
    <t>Early Successional Habitat Development-</t>
  </si>
  <si>
    <t>Structures for Wildlife</t>
  </si>
  <si>
    <t>Windbreak/Shelterbelt Renovation</t>
  </si>
  <si>
    <t>Road/Trail/Landing Closure and Treatmen</t>
  </si>
  <si>
    <t>Forest Trails and Landings</t>
  </si>
  <si>
    <t>Constructed Wetland</t>
  </si>
  <si>
    <t>Wetland Restoration</t>
  </si>
  <si>
    <t>Wetland Creation</t>
  </si>
  <si>
    <t>Wetland Enhancement</t>
  </si>
  <si>
    <t>Tree/Shrub Pruning</t>
  </si>
  <si>
    <t>Forest Stand Improvement</t>
  </si>
  <si>
    <t>Energy Efficient Lighting System</t>
  </si>
  <si>
    <t>Energy Efficient Building Envelope</t>
  </si>
  <si>
    <t>Water Treatment Facility</t>
  </si>
  <si>
    <t>Waste Gasification Facility</t>
  </si>
  <si>
    <t>Crop By-Product Transfer</t>
  </si>
  <si>
    <t>Reduced Water and Energy Coffee</t>
  </si>
  <si>
    <t>Pond Sealing and Lining, Soil Cement</t>
  </si>
  <si>
    <t>Individual Terrace</t>
  </si>
  <si>
    <t>Infiltration Ditch</t>
  </si>
  <si>
    <t>Well Plugging</t>
  </si>
  <si>
    <t>Livestock Confinement Facility</t>
  </si>
  <si>
    <t>Drainage Ditch Covering</t>
  </si>
  <si>
    <t>Phosphorous Removal System</t>
  </si>
  <si>
    <t>Controlling Existing Flowing Wells</t>
  </si>
  <si>
    <t>Water Well Disinfection</t>
  </si>
  <si>
    <t>Soil Carbon Amendment</t>
  </si>
  <si>
    <t>Annual Forages for Grazing Systems</t>
  </si>
  <si>
    <t>Groundwater Recharge Basin or Trench</t>
  </si>
  <si>
    <t>On-Farm Recharge</t>
  </si>
  <si>
    <t>Developer Notes and Sources</t>
  </si>
  <si>
    <t>Current Version</t>
  </si>
  <si>
    <t>Change Log</t>
  </si>
  <si>
    <t>Description</t>
  </si>
  <si>
    <t>Author</t>
  </si>
  <si>
    <t>Version</t>
  </si>
  <si>
    <t>First draft of tool</t>
  </si>
  <si>
    <t>YM</t>
  </si>
  <si>
    <t>JR</t>
  </si>
  <si>
    <t>Sheet Descriptions</t>
  </si>
  <si>
    <t>Instructions</t>
  </si>
  <si>
    <t>• Contains instructions for how to use the tool including: steps, layout, and cell explanations/definitions</t>
  </si>
  <si>
    <t>UI</t>
  </si>
  <si>
    <t>• Contains the functioning parts of the tool.</t>
  </si>
  <si>
    <t>• Has 3 sections: project and producer info, data table, and a statistics section.</t>
  </si>
  <si>
    <t>• Project/producer section contains mostly user-input cells, with a few autopopulated depending on what user enters</t>
  </si>
  <si>
    <t>• Data entry table is at the bottom of the UI; this is where the user enters measured water quality variable concentrations (mg/l) and flow (ft3) for both control and treatment sites, dates of measurement, duration of event (optional except for Qpeak) and cells that are autopopulated when the required cells are completed</t>
  </si>
  <si>
    <t>• Statistics section that is completely autopopulated based on the data entry table:</t>
  </si>
  <si>
    <t>1) Descriptive statistics table: mean, variance, median, IQR</t>
  </si>
  <si>
    <t>2) Amount of events (paired control and treatment samples)</t>
  </si>
  <si>
    <t>3) Check whether data is normal</t>
  </si>
  <si>
    <t>4) Checks variance of data</t>
  </si>
  <si>
    <t>5) If data is normal, runs parametric t-test to see if there is a significant difference between control and treatment sites: paired if user indicates above-below project design, two-sample if user indicates side-by-side (homoscedastic or heteroscedastic depending on variance result)</t>
  </si>
  <si>
    <t>6) If data is not normal, runs non-parametric test to see if there is a significant difference between control and treatment sites: Wilcoxon Signed Rank test if user indicates above-below project design, Mann-Whitney U if user indicates side-by-side</t>
  </si>
  <si>
    <t>7) Calculates the critical value aka cricital difference, which is the minimum difference between two groups that needs to be detected in order to reject the null hypothesis</t>
  </si>
  <si>
    <t>printout</t>
  </si>
  <si>
    <t>• An entirely autopopulated sheet that contains important information from the UI in a shareable format that can be printed on one paper (no color) and shared with producers and other interested parties (layman language)</t>
  </si>
  <si>
    <t>lookup</t>
  </si>
  <si>
    <t>• Contains tables with values used by vlookup functions in the UI sheet</t>
  </si>
  <si>
    <t>UI Sheet Functions and Justifications</t>
  </si>
  <si>
    <t>Water quality variable values that are calculated from the data table depending on what type of data this analysis is for (concentration, load, yield)</t>
  </si>
  <si>
    <t>Columns M-N</t>
  </si>
  <si>
    <t>Font color is white and columns are made small: to see these values, expand columns and make all text in columns black; reason: box and whisker plot doesn't see hidden values</t>
  </si>
  <si>
    <t>Shapiro-Wilk Royston AKA SWR</t>
  </si>
  <si>
    <t>Checks normality</t>
  </si>
  <si>
    <t>3 &lt; n &lt; 2000</t>
  </si>
  <si>
    <t>Regular Shapiro-Wilks can only handle up to 50 samples</t>
  </si>
  <si>
    <t>Columns L-X</t>
  </si>
  <si>
    <t>NOTE: CAREFUL WHEN EDITING! M16 and the a_i column technically contain a closed loop (a_i uses M16 in calculations, but M16 also uses a_i in calculations) and is the reason I didn’t think it could be dynamic initially.</t>
  </si>
  <si>
    <t>Sources:</t>
  </si>
  <si>
    <t>https://www.automateexcel.com/stats/shapiro-wilk-royston-test/</t>
  </si>
  <si>
    <t>https://real-statistics.com/tests-normality-and-symmetry/statistical-tests-normality-symmetry/shapiro-wilk-expanded-test/</t>
  </si>
  <si>
    <t>Mann-Whitney U</t>
  </si>
  <si>
    <t>Non-parametric form of independent sample T-Test (side-by-side)</t>
  </si>
  <si>
    <t>Columns Z-AA</t>
  </si>
  <si>
    <t>Source:</t>
  </si>
  <si>
    <t>https://www.statology.org/how-to-perform-a-mann-whitney-u-test-in-excel/</t>
  </si>
  <si>
    <t>Used to test whether the variances of two populations are equal</t>
  </si>
  <si>
    <t>Columns AC-AD</t>
  </si>
  <si>
    <t>https://support.microsoft.com/en-au/office/ftest-function-4c9e1202-53fe-428c-a737-976f6fc3f9fd</t>
  </si>
  <si>
    <t>Parametric test of significance</t>
  </si>
  <si>
    <t>Columns AF-AG</t>
  </si>
  <si>
    <t>Test changes based on following: monitoring design (paired vs independent; see below for justification) and variance (homoscedacity and heteroscedacity)</t>
  </si>
  <si>
    <t>https://support.microsoft.com/en-us/office/t-test-function-d4e08ec3-c545-485f-962e-276f7cbed055</t>
  </si>
  <si>
    <t>Wilcoxon Signed Rank</t>
  </si>
  <si>
    <t>Non-parametric form of paired sample T-Test (above below)</t>
  </si>
  <si>
    <t>Columns AI-AM</t>
  </si>
  <si>
    <t>https://real-statistics.com/non-parametric-tests/wilcoxon-signed-ranks-test/</t>
  </si>
  <si>
    <t>https://www.statology.org/how-to-find-a-p-value-from-a-z-score-in-excel/</t>
  </si>
  <si>
    <t>aka Critical Value</t>
  </si>
  <si>
    <t>Columns AO-AS</t>
  </si>
  <si>
    <t>Using Fisher's LSD (uses Fisher's SF: Safety Factor), calculated the value of difference in means beyond which indicates the two means are significantly different.</t>
  </si>
  <si>
    <t>https://www.statology.org/fishers-least-significant-difference/</t>
  </si>
  <si>
    <t>https://www.ars.usda.gov/ARSUserFiles/60540520/Excel-ANOVA-UMCP.pdf</t>
  </si>
  <si>
    <t>http://www.csun.edu/~ata20315/psy320/Lecture13_OneWayANOVA.pdf</t>
  </si>
  <si>
    <t>Justification for: side-by-side are independent while above-below are paired (Cell G6)</t>
  </si>
  <si>
    <t>Can assess BMP effectiveness by comparing input-output samples from one event</t>
  </si>
  <si>
    <t>BMPs with long retentions times cannot be compared via paired input-output samples because both cannot be collected during single event, hence the samples are not paired or matched</t>
  </si>
  <si>
    <t>Paired tests are generally more powerful and should be used when enabled by collecting samples at the same time period at two sites.</t>
  </si>
  <si>
    <t>If paired samples are collected simultaneously from input and output (e.g., for the same day or the same storm event), a paired tTest (or comparable nonparametric test) that considers the differences between each pair of observations rather than the difference in group means can give a better interpretation of the difference between the two sampling points.</t>
  </si>
  <si>
    <t>https://www.epa.gov/sites/default/files/2016-06/documents/chapter_7_may_2016_508.pdf</t>
  </si>
  <si>
    <t>https://www.epa.gov/sites/default/files/2016-06/documents/pairedtests.pdf</t>
  </si>
  <si>
    <t>NOTE: While official document from EPA, they use Wilcoxon Rank Sum and Wilcoxon Signed Rank tests interchangeable, which is wrong; therefore, sources might not be entirely accurate</t>
  </si>
  <si>
    <t>printout Sheet Functions</t>
  </si>
  <si>
    <t>Dynamic Chart Contents</t>
  </si>
  <si>
    <t>Chart contents change as values in UI sheet change: title based on selected WQ parameter, values based on the hidden Values used for Calcs table (using named ranges with Offset function so blank values not graphed in Box and Whisker chart)</t>
  </si>
  <si>
    <t>Used named ranges in Chart values to make dynamic</t>
  </si>
  <si>
    <t>https://www.mrexcel.com/board/threads/can-a-chart-range-have-an-if-statement.967332/</t>
  </si>
  <si>
    <t>Used = in function box to connect to cell contents (couldn’t get &amp; to work to merge contents and text)</t>
  </si>
  <si>
    <t>https://www.excel-easy.com/examples/dynamic-named-range.html</t>
  </si>
  <si>
    <t>https://engineerexcel.com/dynamic-chart-titles-in-excel/</t>
  </si>
  <si>
    <t>Please Select...</t>
  </si>
  <si>
    <t>Calc Switch</t>
  </si>
  <si>
    <t>calc_test</t>
  </si>
  <si>
    <t>dummy string val</t>
  </si>
  <si>
    <t>min_cnt</t>
  </si>
  <si>
    <t>ct_plt_vals</t>
  </si>
  <si>
    <t>tx_plt_vals</t>
  </si>
  <si>
    <t>Consolidated shapiro wilk royston test parameters. Retooled some of the logic when testing for different "metrics". Added Flow and Depth to metrics. Tied cell calculations to calc_test to minimize logic within formulas in several ranges. Updated report and plots. Added treatment description field to tool input and report.</t>
  </si>
  <si>
    <t>Control Values</t>
  </si>
  <si>
    <t>Treatment Values</t>
  </si>
  <si>
    <t>Control Station ID</t>
  </si>
  <si>
    <t>ct_cnt</t>
  </si>
  <si>
    <t>tx_cnt</t>
  </si>
  <si>
    <t>Project Name</t>
  </si>
  <si>
    <t>CPS Code</t>
  </si>
  <si>
    <t>User Initials</t>
  </si>
  <si>
    <t>Parameter Label</t>
  </si>
  <si>
    <t>Tool Tips</t>
  </si>
  <si>
    <t>Provide Monitoring Activity ID: e.g. AL00101. If you don't have an ID please contact SM.NRCS.WQMT@usda.gov to obtain one.</t>
  </si>
  <si>
    <t>Monitoring Activity ID</t>
  </si>
  <si>
    <t>Provide Control Station ID: e.g. AL00101. If you don't have an ID please contact SM.NRCS.WQMT@usda.gov to obtain one.</t>
  </si>
  <si>
    <t>Provide Treatment Station ID: e.g. AL00101. If you don't have an ID please contact SM.NRCS.WQMT@usda.gov to obtain one.</t>
  </si>
  <si>
    <t>Enter a label e.g. "Total P (mg/L)" to be used for plots and printout.</t>
  </si>
  <si>
    <t>Enter your intials e.g. ABC</t>
  </si>
  <si>
    <t>Select a monitoring design associated with this activity</t>
  </si>
  <si>
    <t>Activity Design</t>
  </si>
  <si>
    <t>Select the numerical code for the conservation practice being evaluated with this activity</t>
  </si>
  <si>
    <t>Select the desired level of statistical significance to evaluate the date at.</t>
  </si>
  <si>
    <t>Enter data for corresponding samples e.g. 1/10/2029</t>
  </si>
  <si>
    <t>Enter the value for the observation at the control station for this date</t>
  </si>
  <si>
    <t>Enter the value for the observation at the treatment station for this date</t>
  </si>
  <si>
    <t>Control Observation</t>
  </si>
  <si>
    <t>Treatment Observation</t>
  </si>
  <si>
    <t>Monitoring Activity ID:</t>
  </si>
  <si>
    <t>Parameter:</t>
  </si>
  <si>
    <t>Activity Data Entry</t>
  </si>
  <si>
    <t>Statistical Output &amp; Results</t>
  </si>
  <si>
    <t>User Intials</t>
  </si>
  <si>
    <t>Descriptive Results</t>
  </si>
  <si>
    <t>Description of Features</t>
  </si>
  <si>
    <t>Section - Activity Data Entry: User enters describing the activity and the type of anlysis being performed</t>
  </si>
  <si>
    <t>Ref #</t>
  </si>
  <si>
    <t>Name</t>
  </si>
  <si>
    <t>Type</t>
  </si>
  <si>
    <t>Clear All Values</t>
  </si>
  <si>
    <t>Button</t>
  </si>
  <si>
    <t>Clear all user-entered values in the Project Data Entry and Sample Data Entry sections.</t>
  </si>
  <si>
    <t>Cell Lengend</t>
  </si>
  <si>
    <t>Reference</t>
  </si>
  <si>
    <t>Code of each cell's color, which were created to guide the user through the tool and change automatically as users fill out cells. The colors are defined as followed: red cells are required to be filled out by the user, but have not been completed yet; green cells are required to be filled out by the user and have been completed already; yellow cells can be filled out by the user, but are not required for proper tool function; blue cells are autopopulated and cannot be edited by user.</t>
  </si>
  <si>
    <t>User Entered</t>
  </si>
  <si>
    <t>A 7 character ID assigned to each project by NRCS- WQMT.</t>
  </si>
  <si>
    <t>Initials of entity using this reporting tool and associated with activity.</t>
  </si>
  <si>
    <t>User Selected</t>
  </si>
  <si>
    <t>Type of design of project; determines type of T-Test or non-parametric test used by tool. The options are defined as following: side by side are projects evaluating separate watersheds and consist of a control (no conservation practice) and treatment (conservation practice) watersheds; above and below are projects evaluating one watershed that compare the control (unaffected by conservation practice) and treatment (affected by conservation practice) sections.</t>
  </si>
  <si>
    <t>Nine character alphanumeric station ID assigned by NRCS-WQMT to the control station.</t>
  </si>
  <si>
    <t>Conservation practice standard code for the treatment that is being evaluated by the project.</t>
  </si>
  <si>
    <t>Alphanumeric station ID assigned by NRCS to the treatment station.</t>
  </si>
  <si>
    <t>The alpha level, defined as the probability of rejecting the null hypothesis when the null hypothesis is true (probability of false positive aka the wrong answer); results above this pre-determined level are determined to be "not significant" and the evaluated treatment deemed to have no effect. The lower the level, the lower the chance of "significant" results. The standard level used in scientific publications is 0.05;  p-values between 0.05 and 0.1 are often described as "marginally significant" in ecological studies.</t>
  </si>
  <si>
    <t>Auto-Populated</t>
  </si>
  <si>
    <t>Brief description of how CPS is being tested. Be quantitative when possible.</t>
  </si>
  <si>
    <t>Section - Statistical Output &amp; Results: Results from analyses and brief explanations will be displayed in this section</t>
  </si>
  <si>
    <t>Print Report</t>
  </si>
  <si>
    <t>Button that will go to the print preview of the "printout" sheet.</t>
  </si>
  <si>
    <t>Mean of the control and treatment data.</t>
  </si>
  <si>
    <t>Variance of the control and treatment data.</t>
  </si>
  <si>
    <t>Median of the control and treatment data.</t>
  </si>
  <si>
    <t>Interquartile range, specifically middle 50% fourth spread or the difference between the 75th and 25th percentiles, of the control and treatment data.</t>
  </si>
  <si>
    <t>Event sample size.</t>
  </si>
  <si>
    <r>
      <t xml:space="preserve">Determines whether data is normal or not normal based on the Shapiro-Wilk Royston test; determines whether to use T-Test or nonparametric test; minimum sample size n </t>
    </r>
    <r>
      <rPr>
        <sz val="11"/>
        <color theme="1"/>
        <rFont val="Calibri"/>
        <family val="2"/>
      </rPr>
      <t>≥ 4</t>
    </r>
    <r>
      <rPr>
        <sz val="11"/>
        <color theme="1"/>
        <rFont val="Calibri"/>
        <family val="2"/>
        <scheme val="minor"/>
      </rPr>
      <t>.</t>
    </r>
  </si>
  <si>
    <t>Determines whether variances of the control and treatment data are equal; determines which independent samples (side by side monitoring design) T-Test to use.</t>
  </si>
  <si>
    <t>T-Test results showing whether control and treatment data are significantly different based on the alpha level chosen in "Significance Level"; type of T-Test used is determined by "Monitoring Design": independent sample T-Test for "Side by Side," paired sample T-Test for "Above and Below."</t>
  </si>
  <si>
    <t>Non-Parametric</t>
  </si>
  <si>
    <t>Will display as "Mann-Whitney U" or "Wilcoxon Signed-Rank" depending on data distribution and monitoring design: Non-parametric test results showing whether control and treatment data are significantly different based on the alpha level chosen in "Significance Level"; only shows results if data is not normal; is determined by "Monitoring Design": if "Side by Side" then Mann-Whitney U test result shown, if "Above and Below" then Wilcoxon Signed-Rank test result is shown.</t>
  </si>
  <si>
    <t>The critical value, is the smallest significant difference between two means (comparison of two means rather than two groups as a whole). It is used to prove differences between means. This calculation uses Fisher's LSD (Least Significant Difference) formula.</t>
  </si>
  <si>
    <t>Explains test results in more detail, including p-value.</t>
  </si>
  <si>
    <t>Sample Data Entry: This is the table where the user enters data which will be used for all statistical tests in the tool. At least 5 entries must be completed to satisfy minimum sample requirements.</t>
  </si>
  <si>
    <t>Clear Table Values</t>
  </si>
  <si>
    <t>Button that will clear the user-entered values only in the Sample Data Entry section.</t>
  </si>
  <si>
    <t>Number of each sample entry, autopopulated when "Date," "Control Value," and "Treatment Value" are filled out.</t>
  </si>
  <si>
    <t>Date of sample collection.</t>
  </si>
  <si>
    <t>Marks whether all values for sample entry are completed; autopopulated when "Date," "Control Value," and "Treatment Value" are filled out.</t>
  </si>
  <si>
    <t xml:space="preserve">This tool provides a preliminary determination on whether the conservation practice being monitored has an effect on a water quality parameter. </t>
  </si>
  <si>
    <t>Water quality parameter label that describes the data being analyzed.</t>
  </si>
  <si>
    <t>23-27</t>
  </si>
  <si>
    <t>Observation value at the control station on the corresponding date</t>
  </si>
  <si>
    <t>Observation value at the treatment station on the corresponding date</t>
  </si>
  <si>
    <t>ctrl table</t>
  </si>
  <si>
    <t>sta_id</t>
  </si>
  <si>
    <t>date</t>
  </si>
  <si>
    <t>value</t>
  </si>
  <si>
    <t>Updated print macro to unhide the report sheet and rehide after printing</t>
  </si>
  <si>
    <t>Todo</t>
  </si>
  <si>
    <t>Generate report strings for combinations of observations that stump the stats formulas. E.g. all values are the same.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</si>
</sst>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0000"/>
    <numFmt numFmtId="167" formatCode="0.0000000"/>
    <numFmt numFmtId="168" formatCode="0.0"/>
  </numFmts>
  <fonts count="23" x14ac:knownFonts="1">
    <font>
      <sz val="11"/>
      <color theme="1"/>
      <name val="Calibri"/>
      <family val="2"/>
      <scheme val="minor"/>
    </font>
    <font>
      <sz val="11"/>
      <name val="Calibri"/>
      <family val="2"/>
      <scheme val="minor"/>
    </font>
    <font>
      <b/>
      <sz val="11"/>
      <color theme="1"/>
      <name val="Calibri"/>
      <family val="2"/>
      <scheme val="minor"/>
    </font>
    <font>
      <b/>
      <sz val="20"/>
      <color theme="1"/>
      <name val="Calibri"/>
      <family val="2"/>
      <scheme val="minor"/>
    </font>
    <font>
      <b/>
      <i/>
      <sz val="12"/>
      <color theme="1"/>
      <name val="Calibri"/>
      <family val="2"/>
      <scheme val="minor"/>
    </font>
    <font>
      <sz val="11"/>
      <color theme="1"/>
      <name val="Calibri"/>
      <family val="2"/>
    </font>
    <font>
      <b/>
      <sz val="12"/>
      <color theme="1"/>
      <name val="Calibri"/>
      <family val="2"/>
      <scheme val="minor"/>
    </font>
    <font>
      <b/>
      <i/>
      <sz val="11"/>
      <color theme="1"/>
      <name val="Calibri"/>
      <family val="2"/>
      <scheme val="minor"/>
    </font>
    <font>
      <b/>
      <i/>
      <sz val="14"/>
      <color theme="1"/>
      <name val="Calibri"/>
      <family val="2"/>
      <scheme val="minor"/>
    </font>
    <font>
      <b/>
      <sz val="14"/>
      <color theme="1"/>
      <name val="Calibri"/>
      <family val="2"/>
      <scheme val="minor"/>
    </font>
    <font>
      <b/>
      <sz val="16"/>
      <color theme="1"/>
      <name val="Calibri"/>
      <family val="2"/>
      <scheme val="minor"/>
    </font>
    <font>
      <u/>
      <sz val="11"/>
      <color theme="10"/>
      <name val="Calibri"/>
      <family val="2"/>
      <scheme val="minor"/>
    </font>
    <font>
      <b/>
      <i/>
      <sz val="11"/>
      <name val="Calibri"/>
      <family val="2"/>
      <scheme val="minor"/>
    </font>
    <font>
      <sz val="8"/>
      <name val="Calibri"/>
      <family val="2"/>
      <scheme val="minor"/>
    </font>
    <font>
      <b/>
      <sz val="11"/>
      <name val="Calibri"/>
      <family val="2"/>
      <scheme val="minor"/>
    </font>
    <font>
      <sz val="11"/>
      <name val="Calibri"/>
      <family val="2"/>
    </font>
    <font>
      <i/>
      <sz val="11"/>
      <name val="Calibri"/>
      <family val="2"/>
      <scheme val="minor"/>
    </font>
    <font>
      <sz val="12"/>
      <color rgb="FF1B1B1B"/>
      <name val="Arial"/>
      <family val="2"/>
    </font>
    <font>
      <b/>
      <sz val="11"/>
      <color theme="1" tint="0.249977111117893"/>
      <name val="Calibri"/>
      <family val="2"/>
      <scheme val="minor"/>
    </font>
    <font>
      <b/>
      <sz val="11"/>
      <color theme="0"/>
      <name val="Calibri"/>
      <family val="2"/>
      <scheme val="minor"/>
    </font>
    <font>
      <sz val="11"/>
      <color theme="0"/>
      <name val="Calibri"/>
      <family val="2"/>
      <scheme val="minor"/>
    </font>
    <font>
      <sz val="14"/>
      <color theme="1"/>
      <name val="Calibri"/>
      <family val="2"/>
      <scheme val="minor"/>
    </font>
    <font>
      <sz val="12"/>
      <color theme="1"/>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00ABBF"/>
        <bgColor indexed="64"/>
      </patternFill>
    </fill>
    <fill>
      <patternFill patternType="solid">
        <fgColor rgb="FF89C32D"/>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FFCCCC"/>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CE4D6"/>
        <bgColor indexed="64"/>
      </patternFill>
    </fill>
    <fill>
      <patternFill patternType="solid">
        <fgColor rgb="FFFFF2CC"/>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top style="thin">
        <color indexed="64"/>
      </top>
      <bottom style="medium">
        <color indexed="64"/>
      </bottom>
      <diagonal/>
    </border>
    <border>
      <left/>
      <right/>
      <top style="medium">
        <color indexed="64"/>
      </top>
      <bottom/>
      <diagonal/>
    </border>
    <border>
      <left/>
      <right/>
      <top/>
      <bottom style="medium">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indexed="64"/>
      </top>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medium">
        <color indexed="64"/>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style="medium">
        <color indexed="64"/>
      </right>
      <top/>
      <bottom style="thin">
        <color theme="0" tint="-0.34998626667073579"/>
      </bottom>
      <diagonal/>
    </border>
    <border>
      <left style="medium">
        <color indexed="64"/>
      </left>
      <right style="thin">
        <color theme="2" tint="-9.9948118533890809E-2"/>
      </right>
      <top style="medium">
        <color indexed="64"/>
      </top>
      <bottom style="thin">
        <color theme="2" tint="-9.9948118533890809E-2"/>
      </bottom>
      <diagonal/>
    </border>
    <border>
      <left style="thin">
        <color theme="2" tint="-9.9948118533890809E-2"/>
      </left>
      <right style="thin">
        <color theme="2" tint="-9.9948118533890809E-2"/>
      </right>
      <top style="medium">
        <color indexed="64"/>
      </top>
      <bottom style="thin">
        <color theme="2" tint="-9.9948118533890809E-2"/>
      </bottom>
      <diagonal/>
    </border>
    <border>
      <left style="thin">
        <color theme="2" tint="-9.9948118533890809E-2"/>
      </left>
      <right style="medium">
        <color indexed="64"/>
      </right>
      <top style="medium">
        <color indexed="64"/>
      </top>
      <bottom style="thin">
        <color theme="2" tint="-9.9948118533890809E-2"/>
      </bottom>
      <diagonal/>
    </border>
    <border>
      <left style="medium">
        <color indexed="64"/>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medium">
        <color indexed="64"/>
      </right>
      <top style="thin">
        <color theme="2" tint="-9.9948118533890809E-2"/>
      </top>
      <bottom style="thin">
        <color theme="2" tint="-9.9948118533890809E-2"/>
      </bottom>
      <diagonal/>
    </border>
    <border>
      <left style="medium">
        <color indexed="64"/>
      </left>
      <right style="thin">
        <color theme="2" tint="-9.9948118533890809E-2"/>
      </right>
      <top style="thin">
        <color theme="2" tint="-9.9948118533890809E-2"/>
      </top>
      <bottom style="medium">
        <color indexed="64"/>
      </bottom>
      <diagonal/>
    </border>
    <border>
      <left style="thin">
        <color theme="2" tint="-9.9948118533890809E-2"/>
      </left>
      <right style="thin">
        <color theme="2" tint="-9.9948118533890809E-2"/>
      </right>
      <top style="thin">
        <color theme="2" tint="-9.9948118533890809E-2"/>
      </top>
      <bottom style="medium">
        <color indexed="64"/>
      </bottom>
      <diagonal/>
    </border>
    <border>
      <left style="thin">
        <color theme="2" tint="-9.9948118533890809E-2"/>
      </left>
      <right style="medium">
        <color indexed="64"/>
      </right>
      <top style="thin">
        <color theme="2" tint="-9.9948118533890809E-2"/>
      </top>
      <bottom style="medium">
        <color indexed="64"/>
      </bottom>
      <diagonal/>
    </border>
    <border>
      <left style="medium">
        <color indexed="64"/>
      </left>
      <right/>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cellStyleXfs>
  <cellXfs count="185">
    <xf numFmtId="0" fontId="0" fillId="0" borderId="0" xfId="0"/>
    <xf numFmtId="0" fontId="2" fillId="0" borderId="0" xfId="0" applyFont="1"/>
    <xf numFmtId="0" fontId="0" fillId="0" borderId="2" xfId="0" applyBorder="1"/>
    <xf numFmtId="0" fontId="2" fillId="0" borderId="0" xfId="0" applyFont="1" applyAlignment="1">
      <alignment horizontal="center"/>
    </xf>
    <xf numFmtId="0" fontId="0" fillId="3" borderId="0" xfId="0" applyFill="1"/>
    <xf numFmtId="0" fontId="0" fillId="4" borderId="0" xfId="0" applyFill="1"/>
    <xf numFmtId="0" fontId="0" fillId="0" borderId="1" xfId="0" applyBorder="1"/>
    <xf numFmtId="0" fontId="0" fillId="5" borderId="0" xfId="0" applyFill="1"/>
    <xf numFmtId="0" fontId="2" fillId="5" borderId="0" xfId="0" applyFont="1" applyFill="1" applyAlignment="1">
      <alignment horizontal="center"/>
    </xf>
    <xf numFmtId="0" fontId="2" fillId="5" borderId="0" xfId="0" applyFont="1" applyFill="1"/>
    <xf numFmtId="0" fontId="0" fillId="6" borderId="1" xfId="0" applyFill="1" applyBorder="1" applyAlignment="1">
      <alignment horizontal="center"/>
    </xf>
    <xf numFmtId="0" fontId="0" fillId="6" borderId="1" xfId="0" applyFill="1" applyBorder="1"/>
    <xf numFmtId="0" fontId="0" fillId="6" borderId="4" xfId="0" applyFill="1" applyBorder="1"/>
    <xf numFmtId="0" fontId="0" fillId="6" borderId="6" xfId="0" applyFill="1" applyBorder="1"/>
    <xf numFmtId="0" fontId="3" fillId="5" borderId="0" xfId="0" applyFont="1" applyFill="1"/>
    <xf numFmtId="0" fontId="0" fillId="5" borderId="0" xfId="0" applyFill="1" applyAlignment="1">
      <alignment horizontal="center"/>
    </xf>
    <xf numFmtId="165" fontId="0" fillId="6" borderId="1" xfId="0" applyNumberFormat="1" applyFill="1" applyBorder="1" applyAlignment="1">
      <alignment horizontal="center"/>
    </xf>
    <xf numFmtId="14" fontId="0" fillId="0" borderId="1" xfId="0" applyNumberFormat="1" applyBorder="1" applyProtection="1">
      <protection locked="0"/>
    </xf>
    <xf numFmtId="14" fontId="0" fillId="7" borderId="1" xfId="0" applyNumberFormat="1" applyFill="1" applyBorder="1" applyProtection="1">
      <protection locked="0"/>
    </xf>
    <xf numFmtId="0" fontId="0" fillId="7" borderId="1" xfId="0" applyFill="1" applyBorder="1" applyProtection="1">
      <protection locked="0"/>
    </xf>
    <xf numFmtId="0" fontId="6" fillId="5" borderId="0" xfId="0" applyFont="1" applyFill="1" applyAlignment="1">
      <alignment horizontal="center"/>
    </xf>
    <xf numFmtId="0" fontId="0" fillId="0" borderId="0" xfId="0" applyAlignment="1">
      <alignment horizontal="center"/>
    </xf>
    <xf numFmtId="0" fontId="7" fillId="9" borderId="5" xfId="0" applyFont="1" applyFill="1" applyBorder="1" applyAlignment="1">
      <alignment horizontal="center" vertical="center"/>
    </xf>
    <xf numFmtId="0" fontId="7" fillId="2" borderId="5" xfId="0" applyFont="1" applyFill="1" applyBorder="1" applyAlignment="1">
      <alignment horizontal="center" vertical="center"/>
    </xf>
    <xf numFmtId="0" fontId="7" fillId="7" borderId="5" xfId="0" applyFont="1" applyFill="1" applyBorder="1" applyAlignment="1">
      <alignment horizontal="center" vertical="center"/>
    </xf>
    <xf numFmtId="0" fontId="6" fillId="5" borderId="4" xfId="0" applyFont="1" applyFill="1" applyBorder="1" applyAlignment="1">
      <alignment horizontal="center" vertical="center"/>
    </xf>
    <xf numFmtId="0" fontId="4" fillId="3" borderId="0" xfId="0" applyFont="1" applyFill="1" applyAlignment="1">
      <alignment vertical="center"/>
    </xf>
    <xf numFmtId="0" fontId="4" fillId="4" borderId="0" xfId="0" applyFont="1" applyFill="1" applyAlignment="1">
      <alignment vertical="center"/>
    </xf>
    <xf numFmtId="0" fontId="0" fillId="3" borderId="0" xfId="0" applyFill="1" applyAlignment="1">
      <alignment vertical="center"/>
    </xf>
    <xf numFmtId="0" fontId="0" fillId="0" borderId="1" xfId="0" applyBorder="1" applyAlignment="1" applyProtection="1">
      <alignment horizontal="center"/>
      <protection locked="0"/>
    </xf>
    <xf numFmtId="0" fontId="8" fillId="3" borderId="0" xfId="0" applyFont="1" applyFill="1" applyAlignment="1">
      <alignment vertical="center"/>
    </xf>
    <xf numFmtId="0" fontId="8" fillId="4" borderId="0" xfId="0" applyFont="1" applyFill="1" applyAlignment="1">
      <alignment vertical="center"/>
    </xf>
    <xf numFmtId="0" fontId="8" fillId="3" borderId="0" xfId="0" applyFont="1" applyFill="1" applyAlignment="1">
      <alignment horizontal="left" vertical="center"/>
    </xf>
    <xf numFmtId="14" fontId="0" fillId="0" borderId="0" xfId="0" applyNumberFormat="1"/>
    <xf numFmtId="0" fontId="9" fillId="0" borderId="17" xfId="0" applyFont="1" applyBorder="1"/>
    <xf numFmtId="0" fontId="0" fillId="0" borderId="17" xfId="0" applyBorder="1"/>
    <xf numFmtId="0" fontId="6" fillId="0" borderId="2" xfId="0" applyFont="1" applyBorder="1"/>
    <xf numFmtId="0" fontId="2" fillId="0" borderId="0" xfId="0" applyFont="1" applyAlignment="1">
      <alignment horizontal="right"/>
    </xf>
    <xf numFmtId="0" fontId="0" fillId="0" borderId="18" xfId="0" applyBorder="1"/>
    <xf numFmtId="0" fontId="0" fillId="0" borderId="19" xfId="0" applyBorder="1"/>
    <xf numFmtId="0" fontId="6" fillId="0" borderId="16" xfId="0" applyFont="1" applyBorder="1" applyAlignment="1">
      <alignment horizontal="left" vertical="top"/>
    </xf>
    <xf numFmtId="0" fontId="6" fillId="0" borderId="0" xfId="0" applyFont="1"/>
    <xf numFmtId="0" fontId="2" fillId="0" borderId="0" xfId="0" applyFont="1" applyAlignment="1">
      <alignment horizontal="center" vertical="top" wrapText="1"/>
    </xf>
    <xf numFmtId="0" fontId="0" fillId="0" borderId="1" xfId="0" applyBorder="1" applyAlignment="1">
      <alignment horizontal="center"/>
    </xf>
    <xf numFmtId="0" fontId="0" fillId="0" borderId="3"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4" xfId="0" applyBorder="1"/>
    <xf numFmtId="0" fontId="0" fillId="0" borderId="14" xfId="0" applyBorder="1" applyAlignment="1">
      <alignment horizontal="left" indent="1"/>
    </xf>
    <xf numFmtId="0" fontId="0" fillId="0" borderId="14" xfId="0" applyBorder="1" applyAlignment="1">
      <alignment horizontal="left" indent="2"/>
    </xf>
    <xf numFmtId="0" fontId="0" fillId="0" borderId="13" xfId="0" applyBorder="1" applyAlignment="1">
      <alignment horizontal="left" indent="2"/>
    </xf>
    <xf numFmtId="0" fontId="0" fillId="8" borderId="4" xfId="0" applyFill="1" applyBorder="1"/>
    <xf numFmtId="0" fontId="0" fillId="8" borderId="6" xfId="0" applyFill="1" applyBorder="1"/>
    <xf numFmtId="0" fontId="0" fillId="0" borderId="14" xfId="0" applyBorder="1" applyAlignment="1">
      <alignment horizontal="left" wrapText="1" indent="2"/>
    </xf>
    <xf numFmtId="0" fontId="1" fillId="0" borderId="8" xfId="1" applyFont="1" applyBorder="1"/>
    <xf numFmtId="0" fontId="1" fillId="0" borderId="10" xfId="1" applyFont="1" applyBorder="1"/>
    <xf numFmtId="0" fontId="0" fillId="0" borderId="12" xfId="0" applyBorder="1"/>
    <xf numFmtId="0" fontId="0" fillId="0" borderId="10" xfId="0" applyBorder="1" applyAlignment="1">
      <alignment wrapText="1"/>
    </xf>
    <xf numFmtId="0" fontId="0" fillId="0" borderId="0" xfId="0" applyAlignment="1">
      <alignment wrapText="1"/>
    </xf>
    <xf numFmtId="0" fontId="0" fillId="0" borderId="0" xfId="0" applyAlignment="1">
      <alignment vertical="center"/>
    </xf>
    <xf numFmtId="2" fontId="0" fillId="0" borderId="1" xfId="0" applyNumberFormat="1" applyBorder="1" applyProtection="1">
      <protection locked="0"/>
    </xf>
    <xf numFmtId="2" fontId="0" fillId="7" borderId="1" xfId="0" applyNumberFormat="1" applyFill="1" applyBorder="1" applyProtection="1">
      <protection locked="0"/>
    </xf>
    <xf numFmtId="0" fontId="0" fillId="6" borderId="11" xfId="0" applyFill="1" applyBorder="1"/>
    <xf numFmtId="0" fontId="0" fillId="6" borderId="2" xfId="0" applyFill="1" applyBorder="1"/>
    <xf numFmtId="0" fontId="0" fillId="6" borderId="12" xfId="0" applyFill="1" applyBorder="1"/>
    <xf numFmtId="0" fontId="0" fillId="6" borderId="5" xfId="0" applyFill="1" applyBorder="1"/>
    <xf numFmtId="0" fontId="12" fillId="6" borderId="6" xfId="0" applyFont="1" applyFill="1" applyBorder="1" applyAlignment="1">
      <alignment horizontal="center" vertical="center"/>
    </xf>
    <xf numFmtId="0" fontId="0" fillId="0" borderId="14" xfId="0" applyBorder="1" applyAlignment="1">
      <alignment horizontal="left" wrapText="1" indent="1"/>
    </xf>
    <xf numFmtId="0" fontId="0" fillId="0" borderId="8" xfId="0" applyBorder="1" applyAlignment="1">
      <alignment wrapText="1"/>
    </xf>
    <xf numFmtId="0" fontId="0" fillId="0" borderId="7" xfId="0" applyBorder="1" applyAlignment="1">
      <alignment vertical="top"/>
    </xf>
    <xf numFmtId="0" fontId="1" fillId="5" borderId="0" xfId="0" applyFont="1" applyFill="1"/>
    <xf numFmtId="0" fontId="0" fillId="0" borderId="20" xfId="0" applyBorder="1"/>
    <xf numFmtId="0" fontId="0" fillId="11" borderId="21" xfId="0" applyFill="1" applyBorder="1"/>
    <xf numFmtId="0" fontId="0" fillId="0" borderId="21" xfId="0" applyBorder="1"/>
    <xf numFmtId="0" fontId="2" fillId="10" borderId="21" xfId="0" applyFont="1" applyFill="1" applyBorder="1"/>
    <xf numFmtId="0" fontId="7" fillId="0" borderId="0" xfId="0" applyFont="1"/>
    <xf numFmtId="0" fontId="11" fillId="0" borderId="10" xfId="1" applyBorder="1"/>
    <xf numFmtId="0" fontId="0" fillId="0" borderId="0" xfId="0" applyAlignment="1">
      <alignment vertical="top"/>
    </xf>
    <xf numFmtId="0" fontId="9" fillId="0" borderId="0" xfId="0" applyFont="1"/>
    <xf numFmtId="0" fontId="0" fillId="0" borderId="0" xfId="0" applyAlignment="1">
      <alignment horizontal="left"/>
    </xf>
    <xf numFmtId="0" fontId="0" fillId="0" borderId="0" xfId="0" applyAlignment="1">
      <alignment horizontal="left" vertical="top" wrapText="1"/>
    </xf>
    <xf numFmtId="0" fontId="0" fillId="0" borderId="0" xfId="0" applyAlignment="1">
      <alignment vertical="top" wrapText="1"/>
    </xf>
    <xf numFmtId="0" fontId="0" fillId="0" borderId="0" xfId="0" applyAlignment="1">
      <alignment horizontal="left" wrapText="1"/>
    </xf>
    <xf numFmtId="0" fontId="0" fillId="0" borderId="0" xfId="0" applyAlignment="1">
      <alignment horizontal="left" vertical="top"/>
    </xf>
    <xf numFmtId="0" fontId="2" fillId="0" borderId="0" xfId="0" applyFont="1" applyAlignment="1">
      <alignment vertical="top"/>
    </xf>
    <xf numFmtId="0" fontId="9" fillId="0" borderId="18" xfId="0" applyFont="1" applyBorder="1"/>
    <xf numFmtId="0" fontId="9" fillId="0" borderId="19" xfId="0" applyFont="1" applyBorder="1"/>
    <xf numFmtId="0" fontId="0" fillId="13" borderId="1" xfId="0" applyFill="1" applyBorder="1" applyAlignment="1" applyProtection="1">
      <alignment horizontal="center"/>
      <protection locked="0"/>
    </xf>
    <xf numFmtId="0" fontId="11" fillId="0" borderId="12" xfId="1" applyBorder="1"/>
    <xf numFmtId="2" fontId="0" fillId="6" borderId="4" xfId="0" applyNumberFormat="1" applyFill="1" applyBorder="1" applyAlignment="1">
      <alignment horizontal="center"/>
    </xf>
    <xf numFmtId="2" fontId="0" fillId="6" borderId="1" xfId="0" applyNumberFormat="1" applyFill="1" applyBorder="1" applyAlignment="1">
      <alignment horizontal="center"/>
    </xf>
    <xf numFmtId="14" fontId="0" fillId="0" borderId="0" xfId="0" applyNumberFormat="1" applyAlignment="1">
      <alignment horizontal="right" vertical="center"/>
    </xf>
    <xf numFmtId="0" fontId="1" fillId="0" borderId="0" xfId="0" applyFont="1"/>
    <xf numFmtId="0" fontId="1" fillId="0" borderId="0" xfId="0" applyFont="1" applyAlignment="1">
      <alignment horizontal="right"/>
    </xf>
    <xf numFmtId="164" fontId="1" fillId="0" borderId="0" xfId="0" applyNumberFormat="1" applyFont="1" applyAlignment="1">
      <alignment horizontal="right"/>
    </xf>
    <xf numFmtId="164" fontId="1" fillId="0" borderId="0" xfId="0" applyNumberFormat="1" applyFont="1"/>
    <xf numFmtId="0" fontId="15" fillId="0" borderId="0" xfId="0" applyFont="1"/>
    <xf numFmtId="0" fontId="14" fillId="12" borderId="0" xfId="0" applyFont="1" applyFill="1"/>
    <xf numFmtId="0" fontId="1" fillId="12" borderId="0" xfId="0" applyFont="1" applyFill="1"/>
    <xf numFmtId="0" fontId="14" fillId="8" borderId="0" xfId="0" applyFont="1" applyFill="1" applyAlignment="1">
      <alignment horizontal="left"/>
    </xf>
    <xf numFmtId="0" fontId="14" fillId="8" borderId="0" xfId="0" applyFont="1" applyFill="1" applyAlignment="1">
      <alignment horizontal="center"/>
    </xf>
    <xf numFmtId="0" fontId="1" fillId="8" borderId="0" xfId="0" applyFont="1" applyFill="1" applyAlignment="1">
      <alignment horizontal="center"/>
    </xf>
    <xf numFmtId="0" fontId="14" fillId="8" borderId="0" xfId="0" applyFont="1" applyFill="1"/>
    <xf numFmtId="0" fontId="1" fillId="8" borderId="0" xfId="0" applyFont="1" applyFill="1"/>
    <xf numFmtId="164" fontId="1" fillId="8" borderId="0" xfId="0" applyNumberFormat="1" applyFont="1" applyFill="1" applyAlignment="1">
      <alignment horizontal="right"/>
    </xf>
    <xf numFmtId="164" fontId="14" fillId="8" borderId="0" xfId="0" applyNumberFormat="1" applyFont="1" applyFill="1"/>
    <xf numFmtId="164" fontId="1" fillId="8" borderId="0" xfId="0" applyNumberFormat="1" applyFont="1" applyFill="1"/>
    <xf numFmtId="0" fontId="15" fillId="8" borderId="0" xfId="0" applyFont="1" applyFill="1"/>
    <xf numFmtId="165" fontId="1" fillId="0" borderId="0" xfId="0" applyNumberFormat="1" applyFont="1"/>
    <xf numFmtId="165" fontId="1" fillId="0" borderId="0" xfId="0" applyNumberFormat="1" applyFont="1" applyAlignment="1">
      <alignment horizontal="right"/>
    </xf>
    <xf numFmtId="0" fontId="1" fillId="0" borderId="0" xfId="0" applyFont="1" applyAlignment="1">
      <alignment horizontal="left"/>
    </xf>
    <xf numFmtId="0" fontId="1" fillId="0" borderId="0" xfId="0" applyFont="1" applyAlignment="1">
      <alignment horizontal="center"/>
    </xf>
    <xf numFmtId="0" fontId="16" fillId="0" borderId="0" xfId="0" applyFont="1" applyAlignment="1">
      <alignment horizontal="center"/>
    </xf>
    <xf numFmtId="0" fontId="15" fillId="0" borderId="0" xfId="0" applyFont="1" applyAlignment="1">
      <alignment horizontal="left"/>
    </xf>
    <xf numFmtId="164" fontId="1" fillId="0" borderId="0" xfId="0" applyNumberFormat="1" applyFont="1" applyAlignment="1">
      <alignment horizontal="left"/>
    </xf>
    <xf numFmtId="166" fontId="1" fillId="0" borderId="0" xfId="0" applyNumberFormat="1" applyFont="1"/>
    <xf numFmtId="0" fontId="15" fillId="0" borderId="0" xfId="0" applyFont="1" applyAlignment="1">
      <alignment horizontal="right"/>
    </xf>
    <xf numFmtId="167" fontId="1" fillId="0" borderId="0" xfId="0" applyNumberFormat="1" applyFont="1" applyAlignment="1">
      <alignment horizontal="right"/>
    </xf>
    <xf numFmtId="0" fontId="1" fillId="0" borderId="0" xfId="0" quotePrefix="1" applyFont="1"/>
    <xf numFmtId="2" fontId="1" fillId="0" borderId="0" xfId="0" applyNumberFormat="1" applyFont="1"/>
    <xf numFmtId="0" fontId="17" fillId="0" borderId="0" xfId="0" applyFont="1"/>
    <xf numFmtId="0" fontId="2" fillId="5" borderId="0" xfId="0" applyFont="1" applyFill="1" applyAlignment="1">
      <alignment horizontal="right"/>
    </xf>
    <xf numFmtId="0" fontId="2" fillId="5" borderId="0" xfId="0" applyFont="1" applyFill="1" applyAlignment="1">
      <alignment horizontal="left"/>
    </xf>
    <xf numFmtId="0" fontId="0" fillId="5" borderId="0" xfId="0" applyFill="1" applyAlignment="1">
      <alignment horizontal="right"/>
    </xf>
    <xf numFmtId="0" fontId="2" fillId="0" borderId="1" xfId="0" applyFont="1" applyBorder="1" applyAlignment="1">
      <alignment horizontal="center" vertical="center"/>
    </xf>
    <xf numFmtId="0" fontId="2" fillId="0" borderId="1" xfId="0" applyFont="1" applyBorder="1" applyAlignment="1">
      <alignment horizontal="center" vertical="center" wrapText="1"/>
    </xf>
    <xf numFmtId="0" fontId="18" fillId="0" borderId="1" xfId="0" applyFont="1" applyBorder="1" applyAlignment="1">
      <alignment horizontal="center" vertical="center"/>
    </xf>
    <xf numFmtId="0" fontId="6" fillId="0" borderId="19" xfId="0" applyFont="1" applyBorder="1" applyAlignment="1">
      <alignment horizontal="left" vertical="top"/>
    </xf>
    <xf numFmtId="0" fontId="10" fillId="0" borderId="19" xfId="0" applyFont="1" applyBorder="1" applyAlignment="1">
      <alignment horizontal="left" vertical="top"/>
    </xf>
    <xf numFmtId="0" fontId="6" fillId="0" borderId="0" xfId="0" applyFont="1" applyAlignment="1">
      <alignment horizontal="left" vertical="top"/>
    </xf>
    <xf numFmtId="0" fontId="2" fillId="0" borderId="19" xfId="0" applyFont="1" applyBorder="1" applyAlignment="1">
      <alignment horizontal="center" vertical="top"/>
    </xf>
    <xf numFmtId="0" fontId="6" fillId="0" borderId="19" xfId="0" applyFont="1" applyBorder="1" applyAlignment="1">
      <alignment horizontal="center" vertical="top"/>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left" vertical="center" wrapText="1"/>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left" vertical="center" wrapText="1"/>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left" vertical="center" wrapText="1"/>
    </xf>
    <xf numFmtId="0" fontId="6" fillId="0" borderId="32" xfId="0" applyFont="1" applyBorder="1" applyAlignment="1">
      <alignment horizontal="left" vertical="top"/>
    </xf>
    <xf numFmtId="0" fontId="6" fillId="0" borderId="33" xfId="0" applyFont="1" applyBorder="1" applyAlignment="1">
      <alignment horizontal="left" vertical="top"/>
    </xf>
    <xf numFmtId="0" fontId="0" fillId="0" borderId="34" xfId="0" applyBorder="1"/>
    <xf numFmtId="0" fontId="2" fillId="0" borderId="35" xfId="0" applyFont="1" applyBorder="1" applyAlignment="1">
      <alignment horizontal="center" vertical="top"/>
    </xf>
    <xf numFmtId="0" fontId="2" fillId="0" borderId="30" xfId="0" applyFont="1" applyBorder="1" applyAlignment="1">
      <alignment horizontal="center" vertical="top"/>
    </xf>
    <xf numFmtId="0" fontId="2" fillId="0" borderId="36" xfId="0" applyFont="1" applyBorder="1" applyAlignment="1">
      <alignment horizontal="center" vertical="top"/>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7" xfId="0" applyBorder="1" applyAlignment="1">
      <alignment vertical="top" wrapText="1"/>
    </xf>
    <xf numFmtId="0" fontId="0" fillId="0" borderId="28" xfId="0" applyBorder="1" applyAlignment="1">
      <alignment vertical="top" wrapText="1"/>
    </xf>
    <xf numFmtId="0" fontId="0" fillId="0" borderId="31" xfId="0" applyBorder="1" applyAlignment="1">
      <alignment vertical="top" wrapText="1"/>
    </xf>
    <xf numFmtId="0" fontId="0" fillId="0" borderId="38" xfId="0" applyBorder="1"/>
    <xf numFmtId="0" fontId="0" fillId="0" borderId="39" xfId="0" applyBorder="1" applyAlignment="1">
      <alignment horizontal="center" vertical="center"/>
    </xf>
    <xf numFmtId="0" fontId="0" fillId="0" borderId="40" xfId="0" applyBorder="1" applyAlignment="1">
      <alignment vertical="center" wrapText="1"/>
    </xf>
    <xf numFmtId="0" fontId="0" fillId="0" borderId="41" xfId="0" applyBorder="1"/>
    <xf numFmtId="0" fontId="0" fillId="0" borderId="42" xfId="0" applyBorder="1" applyAlignment="1">
      <alignment horizontal="center" vertical="center"/>
    </xf>
    <xf numFmtId="0" fontId="0" fillId="0" borderId="43" xfId="0" applyBorder="1" applyAlignment="1">
      <alignment vertical="center" wrapText="1"/>
    </xf>
    <xf numFmtId="0" fontId="0" fillId="0" borderId="44" xfId="0" applyBorder="1"/>
    <xf numFmtId="0" fontId="0" fillId="0" borderId="45" xfId="0" applyBorder="1" applyAlignment="1">
      <alignment horizontal="center" vertical="center"/>
    </xf>
    <xf numFmtId="0" fontId="0" fillId="0" borderId="46" xfId="0" applyBorder="1" applyAlignment="1">
      <alignment vertical="center" wrapText="1"/>
    </xf>
    <xf numFmtId="0" fontId="6" fillId="0" borderId="15" xfId="0" applyFont="1" applyBorder="1" applyAlignment="1">
      <alignment horizontal="left" vertical="top"/>
    </xf>
    <xf numFmtId="0" fontId="21" fillId="0" borderId="19" xfId="0" applyFont="1" applyBorder="1"/>
    <xf numFmtId="0" fontId="0" fillId="0" borderId="48" xfId="0" applyBorder="1"/>
    <xf numFmtId="0" fontId="0" fillId="0" borderId="15" xfId="0" applyBorder="1" applyAlignment="1">
      <alignment horizontal="left" vertical="top"/>
    </xf>
    <xf numFmtId="0" fontId="20" fillId="5" borderId="0" xfId="0" applyFont="1" applyFill="1"/>
    <xf numFmtId="0" fontId="19" fillId="5" borderId="0" xfId="0" applyFont="1" applyFill="1"/>
    <xf numFmtId="168" fontId="20" fillId="5" borderId="0" xfId="0" applyNumberFormat="1" applyFont="1" applyFill="1"/>
    <xf numFmtId="0" fontId="22" fillId="0" borderId="47" xfId="0" applyFont="1" applyBorder="1" applyAlignment="1">
      <alignment horizontal="left" vertical="top" wrapText="1"/>
    </xf>
    <xf numFmtId="0" fontId="22" fillId="0" borderId="19" xfId="0" applyFont="1" applyBorder="1" applyAlignment="1">
      <alignment horizontal="left" vertical="top" wrapText="1"/>
    </xf>
    <xf numFmtId="0" fontId="0" fillId="14" borderId="7" xfId="0" applyFill="1" applyBorder="1" applyAlignment="1" applyProtection="1">
      <alignment horizontal="left" vertical="top" wrapText="1"/>
      <protection locked="0"/>
    </xf>
    <xf numFmtId="0" fontId="0" fillId="14" borderId="22" xfId="0" applyFill="1" applyBorder="1" applyAlignment="1" applyProtection="1">
      <alignment horizontal="left" vertical="top" wrapText="1"/>
      <protection locked="0"/>
    </xf>
    <xf numFmtId="0" fontId="0" fillId="14" borderId="8" xfId="0" applyFill="1" applyBorder="1" applyAlignment="1" applyProtection="1">
      <alignment horizontal="left" vertical="top" wrapText="1"/>
      <protection locked="0"/>
    </xf>
    <xf numFmtId="0" fontId="0" fillId="14" borderId="9" xfId="0" applyFill="1" applyBorder="1" applyAlignment="1" applyProtection="1">
      <alignment horizontal="left" vertical="top" wrapText="1"/>
      <protection locked="0"/>
    </xf>
    <xf numFmtId="0" fontId="0" fillId="14" borderId="0" xfId="0" applyFill="1" applyAlignment="1" applyProtection="1">
      <alignment horizontal="left" vertical="top" wrapText="1"/>
      <protection locked="0"/>
    </xf>
    <xf numFmtId="0" fontId="0" fillId="14" borderId="10" xfId="0" applyFill="1" applyBorder="1" applyAlignment="1" applyProtection="1">
      <alignment horizontal="left" vertical="top" wrapText="1"/>
      <protection locked="0"/>
    </xf>
    <xf numFmtId="0" fontId="0" fillId="14" borderId="11" xfId="0" applyFill="1" applyBorder="1" applyAlignment="1" applyProtection="1">
      <alignment horizontal="left" vertical="top" wrapText="1"/>
      <protection locked="0"/>
    </xf>
    <xf numFmtId="0" fontId="0" fillId="14" borderId="2" xfId="0" applyFill="1" applyBorder="1" applyAlignment="1" applyProtection="1">
      <alignment horizontal="left" vertical="top" wrapText="1"/>
      <protection locked="0"/>
    </xf>
    <xf numFmtId="0" fontId="0" fillId="14" borderId="12" xfId="0" applyFill="1" applyBorder="1" applyAlignment="1" applyProtection="1">
      <alignment horizontal="left" vertical="top" wrapText="1"/>
      <protection locked="0"/>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vertical="top" wrapText="1"/>
    </xf>
  </cellXfs>
  <cellStyles count="2">
    <cellStyle name="Hyperlink" xfId="1" builtinId="8"/>
    <cellStyle name="Normal" xfId="0" builtinId="0"/>
  </cellStyles>
  <dxfs count="16">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style="thin">
          <color theme="4" tint="0.39997558519241921"/>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ill>
        <patternFill>
          <bgColor rgb="FFFFF2CC"/>
        </patternFill>
      </fill>
    </dxf>
    <dxf>
      <fill>
        <patternFill patternType="solid">
          <bgColor rgb="FFFFCCCC"/>
        </patternFill>
      </fill>
    </dxf>
    <dxf>
      <fill>
        <patternFill>
          <bgColor rgb="FFE2EFDA"/>
        </patternFill>
      </fill>
    </dxf>
    <dxf>
      <fill>
        <patternFill>
          <bgColor rgb="FFFFCCCC"/>
        </patternFill>
      </fill>
    </dxf>
    <dxf>
      <fill>
        <patternFill>
          <bgColor rgb="FFE2EFDA"/>
        </patternFill>
      </fill>
    </dxf>
    <dxf>
      <fill>
        <patternFill>
          <bgColor rgb="FFFFF2CC"/>
        </patternFill>
      </fill>
    </dxf>
    <dxf>
      <fill>
        <patternFill patternType="solid">
          <bgColor rgb="FFFFCCCC"/>
        </patternFill>
      </fill>
    </dxf>
    <dxf>
      <fill>
        <patternFill>
          <bgColor rgb="FFE2EFDA"/>
        </patternFill>
      </fill>
    </dxf>
    <dxf>
      <fill>
        <patternFill>
          <bgColor rgb="FFFFCCCC"/>
        </patternFill>
      </fill>
    </dxf>
    <dxf>
      <fill>
        <patternFill>
          <bgColor rgb="FFE2EFDA"/>
        </patternFill>
      </fill>
    </dxf>
    <dxf>
      <fill>
        <patternFill>
          <bgColor rgb="FFFFCCCC"/>
        </patternFill>
      </fill>
    </dxf>
  </dxfs>
  <tableStyles count="0" defaultTableStyle="TableStyleMedium2" defaultPivotStyle="PivotStyleLight16"/>
  <colors>
    <mruColors>
      <color rgb="FFE2EFDA"/>
      <color rgb="FFFFCCCC"/>
      <color rgb="FFFF9999"/>
      <color rgb="FFFFF2CC"/>
      <color rgb="FFD3FFE2"/>
      <color rgb="FFFCE4D6"/>
      <color rgb="FF99FFCC"/>
      <color rgb="FFFFFFCC"/>
      <color rgb="FF99FF99"/>
      <color rgb="FF00AB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21915345297749"/>
          <c:y val="0.12409803767389807"/>
          <c:w val="0.8443316667799543"/>
          <c:h val="0.78295362882619957"/>
        </c:manualLayout>
      </c:layout>
      <c:lineChart>
        <c:grouping val="standard"/>
        <c:varyColors val="0"/>
        <c:ser>
          <c:idx val="1"/>
          <c:order val="0"/>
          <c:tx>
            <c:strRef>
              <c:f>report!$B$49</c:f>
              <c:strCache>
                <c:ptCount val="1"/>
                <c:pt idx="0">
                  <c:v>0</c:v>
                </c:pt>
              </c:strCache>
            </c:strRef>
          </c:tx>
          <c:spPr>
            <a:ln w="15875" cap="rnd">
              <a:solidFill>
                <a:schemeClr val="tx1"/>
              </a:solidFill>
              <a:prstDash val="sysDash"/>
              <a:round/>
            </a:ln>
            <a:effectLst/>
          </c:spPr>
          <c:marker>
            <c:symbol val="square"/>
            <c:size val="7"/>
            <c:spPr>
              <a:noFill/>
              <a:ln w="12700">
                <a:solidFill>
                  <a:schemeClr val="tx1"/>
                </a:solidFill>
              </a:ln>
              <a:effectLst/>
            </c:spPr>
          </c:marker>
          <c:cat>
            <c:numRef>
              <c:f>tool!$D$35:$D$119</c:f>
              <c:numCache>
                <c:formatCode>m/d/yyyy</c:formatCode>
                <c:ptCount val="85"/>
              </c:numCache>
            </c:numRef>
          </c:cat>
          <c:val>
            <c:numRef>
              <c:f>[0]!CT_fig</c:f>
              <c:numCache>
                <c:formatCode>General</c:formatCode>
                <c:ptCount val="8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numCache>
            </c:numRef>
          </c:val>
          <c:smooth val="0"/>
          <c:extLst>
            <c:ext xmlns:c16="http://schemas.microsoft.com/office/drawing/2014/chart" uri="{C3380CC4-5D6E-409C-BE32-E72D297353CC}">
              <c16:uniqueId val="{00000000-DCD6-41FD-B0BB-FE1E775C6DAF}"/>
            </c:ext>
          </c:extLst>
        </c:ser>
        <c:ser>
          <c:idx val="2"/>
          <c:order val="1"/>
          <c:tx>
            <c:strRef>
              <c:f>report!$B$50</c:f>
              <c:strCache>
                <c:ptCount val="1"/>
                <c:pt idx="0">
                  <c:v>0</c:v>
                </c:pt>
              </c:strCache>
            </c:strRef>
          </c:tx>
          <c:spPr>
            <a:ln w="15875" cap="rnd">
              <a:solidFill>
                <a:schemeClr val="accent3"/>
              </a:solidFill>
              <a:round/>
            </a:ln>
            <a:effectLst/>
          </c:spPr>
          <c:marker>
            <c:symbol val="circle"/>
            <c:size val="8"/>
            <c:spPr>
              <a:solidFill>
                <a:schemeClr val="bg1">
                  <a:lumMod val="75000"/>
                </a:schemeClr>
              </a:solidFill>
              <a:ln w="12700">
                <a:solidFill>
                  <a:schemeClr val="tx1"/>
                </a:solidFill>
              </a:ln>
              <a:effectLst/>
            </c:spPr>
          </c:marker>
          <c:cat>
            <c:numRef>
              <c:f>tool!$D$35:$D$119</c:f>
              <c:numCache>
                <c:formatCode>m/d/yyyy</c:formatCode>
                <c:ptCount val="85"/>
              </c:numCache>
            </c:numRef>
          </c:cat>
          <c:val>
            <c:numRef>
              <c:f>[0]!TX_fig</c:f>
              <c:numCache>
                <c:formatCode>General</c:formatCode>
                <c:ptCount val="8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numCache>
            </c:numRef>
          </c:val>
          <c:smooth val="0"/>
          <c:extLst>
            <c:ext xmlns:c16="http://schemas.microsoft.com/office/drawing/2014/chart" uri="{C3380CC4-5D6E-409C-BE32-E72D297353CC}">
              <c16:uniqueId val="{00000001-DCD6-41FD-B0BB-FE1E775C6DAF}"/>
            </c:ext>
          </c:extLst>
        </c:ser>
        <c:dLbls>
          <c:showLegendKey val="0"/>
          <c:showVal val="0"/>
          <c:showCatName val="0"/>
          <c:showSerName val="0"/>
          <c:showPercent val="0"/>
          <c:showBubbleSize val="0"/>
        </c:dLbls>
        <c:marker val="1"/>
        <c:smooth val="0"/>
        <c:axId val="320751792"/>
        <c:axId val="320750352"/>
      </c:lineChart>
      <c:catAx>
        <c:axId val="320751792"/>
        <c:scaling>
          <c:orientation val="minMax"/>
        </c:scaling>
        <c:delete val="0"/>
        <c:axPos val="b"/>
        <c:numFmt formatCode="m/d/yyyy" sourceLinked="1"/>
        <c:majorTickMark val="none"/>
        <c:minorTickMark val="none"/>
        <c:tickLblPos val="nextTo"/>
        <c:spPr>
          <a:noFill/>
          <a:ln w="12700" cap="flat" cmpd="sng" algn="ctr">
            <a:solidFill>
              <a:schemeClr val="bg2">
                <a:lumMod val="90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0750352"/>
        <c:crosses val="autoZero"/>
        <c:auto val="1"/>
        <c:lblAlgn val="ctr"/>
        <c:lblOffset val="100"/>
        <c:noMultiLvlLbl val="1"/>
      </c:catAx>
      <c:valAx>
        <c:axId val="320750352"/>
        <c:scaling>
          <c:orientation val="minMax"/>
        </c:scaling>
        <c:delete val="0"/>
        <c:axPos val="l"/>
        <c:majorGridlines>
          <c:spPr>
            <a:ln w="9525" cap="flat" cmpd="sng" algn="ctr">
              <a:solidFill>
                <a:schemeClr val="tx1">
                  <a:lumMod val="15000"/>
                  <a:lumOff val="85000"/>
                </a:schemeClr>
              </a:solidFill>
              <a:round/>
            </a:ln>
            <a:effectLst/>
          </c:spPr>
        </c:majorGridlines>
        <c:title>
          <c:tx>
            <c:strRef>
              <c:f>report!$B$52</c:f>
              <c:strCache>
                <c:ptCount val="1"/>
                <c:pt idx="0">
                  <c:v>0</c:v>
                </c:pt>
              </c:strCache>
            </c:strRef>
          </c:tx>
          <c:layout>
            <c:manualLayout>
              <c:xMode val="edge"/>
              <c:yMode val="edge"/>
              <c:x val="2.1621014909363506E-2"/>
              <c:y val="0.4755770855020809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a:solidFill>
              <a:schemeClr val="bg2">
                <a:lumMod val="9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751792"/>
        <c:crosses val="autoZero"/>
        <c:crossBetween val="between"/>
      </c:valAx>
      <c:spPr>
        <a:noFill/>
        <a:ln w="12700">
          <a:solidFill>
            <a:schemeClr val="bg2">
              <a:lumMod val="90000"/>
            </a:schemeClr>
          </a:solidFill>
        </a:ln>
        <a:effectLst/>
      </c:spPr>
    </c:plotArea>
    <c:legend>
      <c:legendPos val="r"/>
      <c:layout>
        <c:manualLayout>
          <c:xMode val="edge"/>
          <c:yMode val="edge"/>
          <c:x val="0.12594427022882088"/>
          <c:y val="2.1557756721987901E-2"/>
          <c:w val="0.84912110844039479"/>
          <c:h val="0.1012038657155476"/>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plotArea>
      <cx:plotAreaRegion>
        <cx:plotSurface>
          <cx:spPr>
            <a:ln>
              <a:solidFill>
                <a:schemeClr val="bg2">
                  <a:lumMod val="90000"/>
                </a:schemeClr>
              </a:solidFill>
            </a:ln>
          </cx:spPr>
        </cx:plotSurface>
        <cx:series layoutId="boxWhisker" uniqueId="{2CC6C425-9943-44D9-923C-02F9DFC664AB}" formatIdx="0">
          <cx:tx>
            <cx:txData>
              <cx:f>_xlchart.v1.0</cx:f>
              <cx:v>0</cx:v>
            </cx:txData>
          </cx:tx>
          <cx:spPr>
            <a:noFill/>
            <a:ln w="12700">
              <a:solidFill>
                <a:schemeClr val="tx1"/>
              </a:solidFill>
            </a:ln>
          </cx:spPr>
          <cx:dataId val="0"/>
          <cx:layoutPr>
            <cx:visibility meanLine="1" meanMarker="0" nonoutliers="0" outliers="1"/>
            <cx:statistics quartileMethod="exclusive"/>
          </cx:layoutPr>
        </cx:series>
        <cx:series layoutId="boxWhisker" uniqueId="{00000001-FD1C-4912-8D2F-26E67B8934FE}" formatIdx="1">
          <cx:tx>
            <cx:txData>
              <cx:f>_xlchart.v1.1</cx:f>
              <cx:v>0</cx:v>
            </cx:txData>
          </cx:tx>
          <cx:spPr>
            <a:solidFill>
              <a:schemeClr val="bg1">
                <a:lumMod val="75000"/>
              </a:schemeClr>
            </a:solidFill>
            <a:ln w="12700">
              <a:solidFill>
                <a:schemeClr val="tx1"/>
              </a:solidFill>
            </a:ln>
          </cx:spPr>
          <cx:dataId val="1"/>
          <cx:layoutPr>
            <cx:visibility meanLine="1" meanMarker="0" nonoutliers="0"/>
            <cx:statistics quartileMethod="exclusive"/>
          </cx:layoutPr>
        </cx:series>
      </cx:plotAreaRegion>
      <cx:axis id="0" hidden="1">
        <cx:catScaling/>
        <cx:tickLabels/>
      </cx:axis>
      <cx:axis id="1">
        <cx:valScaling/>
        <cx:title>
          <cx:tx>
            <cx:rich>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                         </a:t>
                </a:r>
              </a:p>
              <a:p>
                <a:pPr algn="ctr" rtl="0">
                  <a:defRPr/>
                </a:pPr>
                <a:endParaRPr lang="en-US" sz="900" b="0" i="0" u="none" strike="noStrike" baseline="0">
                  <a:solidFill>
                    <a:sysClr val="windowText" lastClr="000000">
                      <a:lumMod val="65000"/>
                      <a:lumOff val="35000"/>
                    </a:sysClr>
                  </a:solidFill>
                  <a:latin typeface="Calibri" panose="020F0502020204030204"/>
                </a:endParaRPr>
              </a:p>
            </cx:rich>
          </cx:tx>
        </cx:title>
        <cx:tickLabels/>
      </cx:axis>
    </cx:plotArea>
    <cx:legend pos="r" align="ctr" overlay="0"/>
  </cx:chart>
  <cx:spPr>
    <a:ln w="12700">
      <a:solidFill>
        <a:schemeClr val="tx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microsoft.com/office/2014/relationships/chartEx" Target="../charts/chartEx1.xml"/><Relationship Id="rId4"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302559</xdr:rowOff>
    </xdr:from>
    <xdr:to>
      <xdr:col>3</xdr:col>
      <xdr:colOff>4157382</xdr:colOff>
      <xdr:row>2</xdr:row>
      <xdr:rowOff>5160051</xdr:rowOff>
    </xdr:to>
    <xdr:pic>
      <xdr:nvPicPr>
        <xdr:cNvPr id="4" name="Picture 3">
          <a:extLst>
            <a:ext uri="{FF2B5EF4-FFF2-40B4-BE49-F238E27FC236}">
              <a16:creationId xmlns:a16="http://schemas.microsoft.com/office/drawing/2014/main" id="{5CF098C6-6C3D-A8F4-68FA-1F92C99F7914}"/>
            </a:ext>
          </a:extLst>
        </xdr:cNvPr>
        <xdr:cNvPicPr>
          <a:picLocks noChangeAspect="1"/>
        </xdr:cNvPicPr>
      </xdr:nvPicPr>
      <xdr:blipFill rotWithShape="1">
        <a:blip xmlns:r="http://schemas.openxmlformats.org/officeDocument/2006/relationships" r:embed="rId1"/>
        <a:srcRect t="3790"/>
        <a:stretch/>
      </xdr:blipFill>
      <xdr:spPr>
        <a:xfrm>
          <a:off x="0" y="795618"/>
          <a:ext cx="8449235" cy="48574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140561</xdr:colOff>
      <xdr:row>32</xdr:row>
      <xdr:rowOff>22111</xdr:rowOff>
    </xdr:from>
    <xdr:to>
      <xdr:col>6</xdr:col>
      <xdr:colOff>1302884</xdr:colOff>
      <xdr:row>32</xdr:row>
      <xdr:rowOff>258330</xdr:rowOff>
    </xdr:to>
    <xdr:sp macro="[0]!Clear_Data_Table" textlink="">
      <xdr:nvSpPr>
        <xdr:cNvPr id="8" name="Rectangle: Rounded Corners 1">
          <a:extLst>
            <a:ext uri="{FF2B5EF4-FFF2-40B4-BE49-F238E27FC236}">
              <a16:creationId xmlns:a16="http://schemas.microsoft.com/office/drawing/2014/main" id="{00000000-0008-0000-0100-000008000000}"/>
            </a:ext>
          </a:extLst>
        </xdr:cNvPr>
        <xdr:cNvSpPr/>
      </xdr:nvSpPr>
      <xdr:spPr>
        <a:xfrm>
          <a:off x="8699454" y="6676004"/>
          <a:ext cx="1162323" cy="236219"/>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Clear Table Values</a:t>
          </a:r>
        </a:p>
      </xdr:txBody>
    </xdr:sp>
    <xdr:clientData/>
  </xdr:twoCellAnchor>
  <xdr:twoCellAnchor>
    <xdr:from>
      <xdr:col>6</xdr:col>
      <xdr:colOff>0</xdr:colOff>
      <xdr:row>1</xdr:row>
      <xdr:rowOff>33813</xdr:rowOff>
    </xdr:from>
    <xdr:to>
      <xdr:col>7</xdr:col>
      <xdr:colOff>8571</xdr:colOff>
      <xdr:row>1</xdr:row>
      <xdr:rowOff>276225</xdr:rowOff>
    </xdr:to>
    <xdr:sp macro="[0]!Clear_All_Values" textlink="">
      <xdr:nvSpPr>
        <xdr:cNvPr id="7" name="Rectangle: Rounded Corners 3">
          <a:extLst>
            <a:ext uri="{FF2B5EF4-FFF2-40B4-BE49-F238E27FC236}">
              <a16:creationId xmlns:a16="http://schemas.microsoft.com/office/drawing/2014/main" id="{00000000-0008-0000-0100-000007000000}"/>
            </a:ext>
          </a:extLst>
        </xdr:cNvPr>
        <xdr:cNvSpPr/>
      </xdr:nvSpPr>
      <xdr:spPr>
        <a:xfrm>
          <a:off x="7029450" y="357663"/>
          <a:ext cx="1427796" cy="242412"/>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Clear All Values</a:t>
          </a:r>
        </a:p>
      </xdr:txBody>
    </xdr:sp>
    <xdr:clientData/>
  </xdr:twoCellAnchor>
  <xdr:twoCellAnchor editAs="oneCell">
    <xdr:from>
      <xdr:col>6</xdr:col>
      <xdr:colOff>20955</xdr:colOff>
      <xdr:row>0</xdr:row>
      <xdr:rowOff>68580</xdr:rowOff>
    </xdr:from>
    <xdr:to>
      <xdr:col>7</xdr:col>
      <xdr:colOff>1010457</xdr:colOff>
      <xdr:row>0</xdr:row>
      <xdr:rowOff>289225</xdr:rowOff>
    </xdr:to>
    <xdr:pic>
      <xdr:nvPicPr>
        <xdr:cNvPr id="6" name="Picture 4">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64880" y="68580"/>
          <a:ext cx="2395392" cy="224455"/>
        </a:xfrm>
        <a:prstGeom prst="rect">
          <a:avLst/>
        </a:prstGeom>
      </xdr:spPr>
    </xdr:pic>
    <xdr:clientData/>
  </xdr:twoCellAnchor>
  <xdr:oneCellAnchor>
    <xdr:from>
      <xdr:col>25</xdr:col>
      <xdr:colOff>281940</xdr:colOff>
      <xdr:row>7</xdr:row>
      <xdr:rowOff>0</xdr:rowOff>
    </xdr:from>
    <xdr:ext cx="65" cy="172227"/>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2366333" y="111578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xdr:from>
      <xdr:col>6</xdr:col>
      <xdr:colOff>18097</xdr:colOff>
      <xdr:row>19</xdr:row>
      <xdr:rowOff>35718</xdr:rowOff>
    </xdr:from>
    <xdr:to>
      <xdr:col>7</xdr:col>
      <xdr:colOff>23812</xdr:colOff>
      <xdr:row>19</xdr:row>
      <xdr:rowOff>271937</xdr:rowOff>
    </xdr:to>
    <xdr:sp macro="[0]!printButton_Click"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047547" y="2502693"/>
          <a:ext cx="1424940" cy="236219"/>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Print 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459691</xdr:colOff>
      <xdr:row>54</xdr:row>
      <xdr:rowOff>83860</xdr:rowOff>
    </xdr:from>
    <xdr:to>
      <xdr:col>4</xdr:col>
      <xdr:colOff>334547</xdr:colOff>
      <xdr:row>67</xdr:row>
      <xdr:rowOff>178964</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59691" y="11687215"/>
              <a:ext cx="5025976" cy="248968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485753</xdr:colOff>
      <xdr:row>70</xdr:row>
      <xdr:rowOff>13189</xdr:rowOff>
    </xdr:from>
    <xdr:to>
      <xdr:col>4</xdr:col>
      <xdr:colOff>354894</xdr:colOff>
      <xdr:row>81</xdr:row>
      <xdr:rowOff>208671</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556303</xdr:colOff>
      <xdr:row>54</xdr:row>
      <xdr:rowOff>166322</xdr:rowOff>
    </xdr:from>
    <xdr:to>
      <xdr:col>0</xdr:col>
      <xdr:colOff>799337</xdr:colOff>
      <xdr:row>67</xdr:row>
      <xdr:rowOff>128076</xdr:rowOff>
    </xdr:to>
    <xdr:sp macro="" textlink="$B$52">
      <xdr:nvSpPr>
        <xdr:cNvPr id="4" name="TextBox 3">
          <a:extLst>
            <a:ext uri="{FF2B5EF4-FFF2-40B4-BE49-F238E27FC236}">
              <a16:creationId xmlns:a16="http://schemas.microsoft.com/office/drawing/2014/main" id="{00000000-0008-0000-0200-000004000000}"/>
            </a:ext>
          </a:extLst>
        </xdr:cNvPr>
        <xdr:cNvSpPr txBox="1"/>
      </xdr:nvSpPr>
      <xdr:spPr>
        <a:xfrm rot="16200000">
          <a:off x="-515663" y="12880769"/>
          <a:ext cx="2386965" cy="2430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37F76B2-ED79-4E50-85BC-291172FBC8E4}" type="TxLink">
            <a:rPr lang="en-US" sz="1000" b="0" i="0" u="none" strike="noStrike">
              <a:solidFill>
                <a:srgbClr val="000000"/>
              </a:solidFill>
              <a:latin typeface="Calibri"/>
              <a:cs typeface="Calibri"/>
            </a:rPr>
            <a:pPr algn="ctr"/>
            <a:t>0</a:t>
          </a:fld>
          <a:endParaRPr lang="en-US" sz="1000"/>
        </a:p>
      </xdr:txBody>
    </xdr:sp>
    <xdr:clientData/>
  </xdr:twoCellAnchor>
  <xdr:twoCellAnchor editAs="oneCell">
    <xdr:from>
      <xdr:col>3</xdr:col>
      <xdr:colOff>198045</xdr:colOff>
      <xdr:row>0</xdr:row>
      <xdr:rowOff>37722</xdr:rowOff>
    </xdr:from>
    <xdr:to>
      <xdr:col>5</xdr:col>
      <xdr:colOff>477426</xdr:colOff>
      <xdr:row>1</xdr:row>
      <xdr:rowOff>19759</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cstate="print">
          <a:duotone>
            <a:prstClr val="black"/>
            <a:schemeClr val="accent3">
              <a:tint val="45000"/>
              <a:satMod val="400000"/>
            </a:schemeClr>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4158936" y="235767"/>
          <a:ext cx="2369185" cy="213995"/>
        </a:xfrm>
        <a:prstGeom prst="rect">
          <a:avLst/>
        </a:prstGeom>
      </xdr:spPr>
    </xdr:pic>
    <xdr:clientData/>
  </xdr:twoCellAnchor>
  <xdr:twoCellAnchor editAs="oneCell">
    <xdr:from>
      <xdr:col>3</xdr:col>
      <xdr:colOff>207475</xdr:colOff>
      <xdr:row>39</xdr:row>
      <xdr:rowOff>66014</xdr:rowOff>
    </xdr:from>
    <xdr:to>
      <xdr:col>5</xdr:col>
      <xdr:colOff>479236</xdr:colOff>
      <xdr:row>40</xdr:row>
      <xdr:rowOff>57577</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3" cstate="print">
          <a:duotone>
            <a:prstClr val="black"/>
            <a:schemeClr val="accent3">
              <a:tint val="45000"/>
              <a:satMod val="400000"/>
            </a:schemeClr>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4168366" y="9355247"/>
          <a:ext cx="2369185" cy="21399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sdagcc.sharepoint.com/sites/FPAC-NRCS-WaterQualityQuantityTeam-EoF_recent_grads/Shared%20Documents/EoF_recent_grads/reporting_tools/NRCS_EoF_Discrete_Sample_Analysis_Tool_v1.xlsm" TargetMode="External"/><Relationship Id="rId1" Type="http://schemas.openxmlformats.org/officeDocument/2006/relationships/externalLinkPath" Target="NRCS_EoF_Discrete_Sample_Analysis_Tool_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tool"/>
      <sheetName val="report"/>
      <sheetName val="lookup"/>
      <sheetName val="dev"/>
    </sheetNames>
    <sheetDataSet>
      <sheetData sheetId="0"/>
      <sheetData sheetId="1">
        <row r="6">
          <cell r="C6" t="str">
            <v>AL00101</v>
          </cell>
          <cell r="E6" t="str">
            <v>JLR</v>
          </cell>
          <cell r="G6" t="str">
            <v>Above and below</v>
          </cell>
        </row>
        <row r="8">
          <cell r="C8" t="str">
            <v>AL0010101</v>
          </cell>
          <cell r="G8">
            <v>316</v>
          </cell>
        </row>
        <row r="10">
          <cell r="C10" t="str">
            <v>AL0010102</v>
          </cell>
          <cell r="G10">
            <v>0.05</v>
          </cell>
        </row>
        <row r="12">
          <cell r="C12" t="str">
            <v>NH4</v>
          </cell>
          <cell r="G12" t="str">
            <v>lbs.</v>
          </cell>
        </row>
        <row r="16">
          <cell r="P16">
            <v>1</v>
          </cell>
        </row>
        <row r="17">
          <cell r="P17">
            <v>5</v>
          </cell>
        </row>
        <row r="25">
          <cell r="C25">
            <v>5</v>
          </cell>
        </row>
        <row r="35">
          <cell r="C35">
            <v>45677</v>
          </cell>
          <cell r="J35">
            <v>0.43699536147021989</v>
          </cell>
          <cell r="K35">
            <v>4.3699536147021989E-2</v>
          </cell>
          <cell r="L35">
            <v>0.43699536147021989</v>
          </cell>
          <cell r="M35">
            <v>4.3699536147021989E-2</v>
          </cell>
          <cell r="S35">
            <v>8.7399072294043977E-4</v>
          </cell>
          <cell r="W35">
            <v>3.9329582532319791E-3</v>
          </cell>
        </row>
        <row r="36">
          <cell r="C36">
            <v>45737</v>
          </cell>
          <cell r="J36">
            <v>554.85925324961636</v>
          </cell>
          <cell r="K36">
            <v>0.21849768073510994</v>
          </cell>
          <cell r="L36">
            <v>554.85925324961636</v>
          </cell>
          <cell r="M36">
            <v>0.21849768073510994</v>
          </cell>
          <cell r="S36">
            <v>3.4959628917617591E-3</v>
          </cell>
          <cell r="W36">
            <v>4.3699536147021989E-2</v>
          </cell>
        </row>
        <row r="37">
          <cell r="C37">
            <v>45797</v>
          </cell>
          <cell r="J37">
            <v>3.4959628917617591E-3</v>
          </cell>
          <cell r="K37">
            <v>2.1849768073510996</v>
          </cell>
          <cell r="L37">
            <v>3.4959628917617591E-3</v>
          </cell>
          <cell r="M37">
            <v>2.1849768073510996</v>
          </cell>
          <cell r="S37">
            <v>0.43699536147021989</v>
          </cell>
          <cell r="W37">
            <v>0.21849768073510994</v>
          </cell>
        </row>
        <row r="38">
          <cell r="C38">
            <v>45857</v>
          </cell>
          <cell r="J38">
            <v>1.3109860844106598</v>
          </cell>
          <cell r="K38">
            <v>3.9329582532319791E-3</v>
          </cell>
          <cell r="L38">
            <v>1.3109860844106598</v>
          </cell>
          <cell r="M38">
            <v>3.9329582532319791E-3</v>
          </cell>
          <cell r="S38">
            <v>1.3109860844106598</v>
          </cell>
          <cell r="W38">
            <v>0.24253242561597205</v>
          </cell>
        </row>
        <row r="39">
          <cell r="C39">
            <v>45917</v>
          </cell>
          <cell r="J39">
            <v>8.7399072294043977E-4</v>
          </cell>
          <cell r="K39">
            <v>0.24253242561597205</v>
          </cell>
          <cell r="L39">
            <v>8.7399072294043977E-4</v>
          </cell>
          <cell r="M39">
            <v>0.24253242561597205</v>
          </cell>
          <cell r="S39">
            <v>554.85925324961636</v>
          </cell>
          <cell r="W39">
            <v>2.1849768073510996</v>
          </cell>
        </row>
        <row r="40">
          <cell r="J40" t="str">
            <v/>
          </cell>
          <cell r="K40" t="str">
            <v/>
          </cell>
          <cell r="L40" t="e">
            <v>#N/A</v>
          </cell>
          <cell r="M40" t="e">
            <v>#N/A</v>
          </cell>
          <cell r="S40" t="str">
            <v/>
          </cell>
          <cell r="W40" t="str">
            <v/>
          </cell>
        </row>
        <row r="41">
          <cell r="J41" t="str">
            <v/>
          </cell>
          <cell r="K41" t="str">
            <v/>
          </cell>
          <cell r="L41" t="e">
            <v>#N/A</v>
          </cell>
          <cell r="M41" t="e">
            <v>#N/A</v>
          </cell>
          <cell r="S41" t="str">
            <v/>
          </cell>
          <cell r="W41" t="str">
            <v/>
          </cell>
        </row>
        <row r="42">
          <cell r="J42" t="str">
            <v/>
          </cell>
          <cell r="K42" t="str">
            <v/>
          </cell>
          <cell r="L42" t="e">
            <v>#N/A</v>
          </cell>
          <cell r="M42" t="e">
            <v>#N/A</v>
          </cell>
          <cell r="S42" t="str">
            <v/>
          </cell>
          <cell r="W42" t="str">
            <v/>
          </cell>
        </row>
        <row r="43">
          <cell r="J43" t="str">
            <v/>
          </cell>
          <cell r="K43" t="str">
            <v/>
          </cell>
          <cell r="L43" t="e">
            <v>#N/A</v>
          </cell>
          <cell r="M43" t="e">
            <v>#N/A</v>
          </cell>
          <cell r="S43" t="str">
            <v/>
          </cell>
          <cell r="W43" t="str">
            <v/>
          </cell>
        </row>
        <row r="44">
          <cell r="J44" t="str">
            <v/>
          </cell>
          <cell r="K44" t="str">
            <v/>
          </cell>
          <cell r="L44" t="e">
            <v>#N/A</v>
          </cell>
          <cell r="M44" t="e">
            <v>#N/A</v>
          </cell>
          <cell r="S44" t="str">
            <v/>
          </cell>
          <cell r="W44" t="str">
            <v/>
          </cell>
        </row>
        <row r="45">
          <cell r="J45" t="str">
            <v/>
          </cell>
          <cell r="K45" t="str">
            <v/>
          </cell>
          <cell r="L45" t="e">
            <v>#N/A</v>
          </cell>
          <cell r="M45" t="e">
            <v>#N/A</v>
          </cell>
          <cell r="S45" t="str">
            <v/>
          </cell>
          <cell r="W45" t="str">
            <v/>
          </cell>
        </row>
        <row r="46">
          <cell r="J46" t="str">
            <v/>
          </cell>
          <cell r="K46" t="str">
            <v/>
          </cell>
          <cell r="L46" t="e">
            <v>#N/A</v>
          </cell>
          <cell r="M46" t="e">
            <v>#N/A</v>
          </cell>
          <cell r="S46" t="str">
            <v/>
          </cell>
          <cell r="W46" t="str">
            <v/>
          </cell>
        </row>
        <row r="47">
          <cell r="J47" t="str">
            <v/>
          </cell>
          <cell r="K47" t="str">
            <v/>
          </cell>
          <cell r="L47" t="e">
            <v>#N/A</v>
          </cell>
          <cell r="M47" t="e">
            <v>#N/A</v>
          </cell>
          <cell r="S47" t="str">
            <v/>
          </cell>
          <cell r="W47" t="str">
            <v/>
          </cell>
        </row>
        <row r="48">
          <cell r="J48" t="str">
            <v/>
          </cell>
          <cell r="K48" t="str">
            <v/>
          </cell>
          <cell r="L48" t="e">
            <v>#N/A</v>
          </cell>
          <cell r="M48" t="e">
            <v>#N/A</v>
          </cell>
          <cell r="S48" t="str">
            <v/>
          </cell>
          <cell r="W48" t="str">
            <v/>
          </cell>
        </row>
        <row r="49">
          <cell r="J49" t="str">
            <v/>
          </cell>
          <cell r="K49" t="str">
            <v/>
          </cell>
          <cell r="L49" t="e">
            <v>#N/A</v>
          </cell>
          <cell r="M49" t="e">
            <v>#N/A</v>
          </cell>
          <cell r="S49" t="str">
            <v/>
          </cell>
          <cell r="W49" t="str">
            <v/>
          </cell>
        </row>
        <row r="50">
          <cell r="J50" t="str">
            <v/>
          </cell>
          <cell r="K50" t="str">
            <v/>
          </cell>
          <cell r="L50" t="e">
            <v>#N/A</v>
          </cell>
          <cell r="M50" t="e">
            <v>#N/A</v>
          </cell>
          <cell r="S50" t="str">
            <v/>
          </cell>
          <cell r="W50" t="str">
            <v/>
          </cell>
        </row>
        <row r="51">
          <cell r="J51" t="str">
            <v/>
          </cell>
          <cell r="K51" t="str">
            <v/>
          </cell>
          <cell r="L51" t="e">
            <v>#N/A</v>
          </cell>
          <cell r="M51" t="e">
            <v>#N/A</v>
          </cell>
          <cell r="S51" t="str">
            <v/>
          </cell>
          <cell r="W51" t="str">
            <v/>
          </cell>
        </row>
        <row r="52">
          <cell r="J52" t="str">
            <v/>
          </cell>
          <cell r="K52" t="str">
            <v/>
          </cell>
          <cell r="L52" t="e">
            <v>#N/A</v>
          </cell>
          <cell r="M52" t="e">
            <v>#N/A</v>
          </cell>
          <cell r="S52" t="str">
            <v/>
          </cell>
          <cell r="W52" t="str">
            <v/>
          </cell>
        </row>
        <row r="53">
          <cell r="J53" t="str">
            <v/>
          </cell>
          <cell r="K53" t="str">
            <v/>
          </cell>
          <cell r="L53" t="e">
            <v>#N/A</v>
          </cell>
          <cell r="M53" t="e">
            <v>#N/A</v>
          </cell>
          <cell r="S53" t="str">
            <v/>
          </cell>
          <cell r="W53" t="str">
            <v/>
          </cell>
        </row>
        <row r="54">
          <cell r="J54" t="str">
            <v/>
          </cell>
          <cell r="K54" t="str">
            <v/>
          </cell>
          <cell r="L54" t="e">
            <v>#N/A</v>
          </cell>
          <cell r="M54" t="e">
            <v>#N/A</v>
          </cell>
          <cell r="S54" t="str">
            <v/>
          </cell>
          <cell r="W54" t="str">
            <v/>
          </cell>
        </row>
        <row r="55">
          <cell r="J55" t="str">
            <v/>
          </cell>
          <cell r="K55" t="str">
            <v/>
          </cell>
          <cell r="L55" t="e">
            <v>#N/A</v>
          </cell>
          <cell r="M55" t="e">
            <v>#N/A</v>
          </cell>
          <cell r="S55" t="str">
            <v/>
          </cell>
          <cell r="W55" t="str">
            <v/>
          </cell>
        </row>
        <row r="56">
          <cell r="J56" t="str">
            <v/>
          </cell>
          <cell r="K56" t="str">
            <v/>
          </cell>
          <cell r="L56" t="e">
            <v>#N/A</v>
          </cell>
          <cell r="M56" t="e">
            <v>#N/A</v>
          </cell>
          <cell r="S56" t="str">
            <v/>
          </cell>
          <cell r="W56" t="str">
            <v/>
          </cell>
        </row>
        <row r="57">
          <cell r="J57" t="str">
            <v/>
          </cell>
          <cell r="K57" t="str">
            <v/>
          </cell>
          <cell r="L57" t="e">
            <v>#N/A</v>
          </cell>
          <cell r="M57" t="e">
            <v>#N/A</v>
          </cell>
          <cell r="S57" t="str">
            <v/>
          </cell>
          <cell r="W57" t="str">
            <v/>
          </cell>
        </row>
        <row r="58">
          <cell r="J58" t="str">
            <v/>
          </cell>
          <cell r="K58" t="str">
            <v/>
          </cell>
          <cell r="L58" t="e">
            <v>#N/A</v>
          </cell>
          <cell r="M58" t="e">
            <v>#N/A</v>
          </cell>
          <cell r="S58" t="str">
            <v/>
          </cell>
          <cell r="W58" t="str">
            <v/>
          </cell>
        </row>
        <row r="59">
          <cell r="J59" t="str">
            <v/>
          </cell>
          <cell r="K59" t="str">
            <v/>
          </cell>
          <cell r="L59" t="e">
            <v>#N/A</v>
          </cell>
          <cell r="M59" t="e">
            <v>#N/A</v>
          </cell>
          <cell r="S59" t="str">
            <v/>
          </cell>
          <cell r="W59" t="str">
            <v/>
          </cell>
        </row>
        <row r="60">
          <cell r="J60" t="str">
            <v/>
          </cell>
          <cell r="K60" t="str">
            <v/>
          </cell>
          <cell r="L60" t="e">
            <v>#N/A</v>
          </cell>
          <cell r="M60" t="e">
            <v>#N/A</v>
          </cell>
          <cell r="S60" t="str">
            <v/>
          </cell>
          <cell r="W60" t="str">
            <v/>
          </cell>
        </row>
        <row r="61">
          <cell r="J61" t="str">
            <v/>
          </cell>
          <cell r="K61" t="str">
            <v/>
          </cell>
          <cell r="L61" t="e">
            <v>#N/A</v>
          </cell>
          <cell r="M61" t="e">
            <v>#N/A</v>
          </cell>
          <cell r="S61" t="str">
            <v/>
          </cell>
          <cell r="W61" t="str">
            <v/>
          </cell>
        </row>
        <row r="62">
          <cell r="J62" t="str">
            <v/>
          </cell>
          <cell r="K62" t="str">
            <v/>
          </cell>
          <cell r="L62" t="e">
            <v>#N/A</v>
          </cell>
          <cell r="M62" t="e">
            <v>#N/A</v>
          </cell>
          <cell r="S62" t="str">
            <v/>
          </cell>
          <cell r="W62" t="str">
            <v/>
          </cell>
        </row>
        <row r="63">
          <cell r="J63" t="str">
            <v/>
          </cell>
          <cell r="K63" t="str">
            <v/>
          </cell>
          <cell r="L63" t="e">
            <v>#N/A</v>
          </cell>
          <cell r="M63" t="e">
            <v>#N/A</v>
          </cell>
          <cell r="S63" t="str">
            <v/>
          </cell>
          <cell r="W63" t="str">
            <v/>
          </cell>
        </row>
        <row r="64">
          <cell r="J64" t="str">
            <v/>
          </cell>
          <cell r="K64" t="str">
            <v/>
          </cell>
          <cell r="L64" t="e">
            <v>#N/A</v>
          </cell>
          <cell r="M64" t="e">
            <v>#N/A</v>
          </cell>
          <cell r="S64" t="str">
            <v/>
          </cell>
          <cell r="W64" t="str">
            <v/>
          </cell>
        </row>
        <row r="65">
          <cell r="J65" t="str">
            <v/>
          </cell>
          <cell r="K65" t="str">
            <v/>
          </cell>
          <cell r="L65" t="e">
            <v>#N/A</v>
          </cell>
          <cell r="M65" t="e">
            <v>#N/A</v>
          </cell>
          <cell r="S65" t="str">
            <v/>
          </cell>
          <cell r="W65" t="str">
            <v/>
          </cell>
        </row>
        <row r="66">
          <cell r="J66" t="str">
            <v/>
          </cell>
          <cell r="K66" t="str">
            <v/>
          </cell>
          <cell r="L66" t="e">
            <v>#N/A</v>
          </cell>
          <cell r="M66" t="e">
            <v>#N/A</v>
          </cell>
          <cell r="S66" t="str">
            <v/>
          </cell>
          <cell r="W66" t="str">
            <v/>
          </cell>
        </row>
        <row r="67">
          <cell r="J67" t="str">
            <v/>
          </cell>
          <cell r="K67" t="str">
            <v/>
          </cell>
          <cell r="L67" t="e">
            <v>#N/A</v>
          </cell>
          <cell r="M67" t="e">
            <v>#N/A</v>
          </cell>
          <cell r="S67" t="str">
            <v/>
          </cell>
          <cell r="W67" t="str">
            <v/>
          </cell>
        </row>
        <row r="68">
          <cell r="J68" t="str">
            <v/>
          </cell>
          <cell r="K68" t="str">
            <v/>
          </cell>
          <cell r="L68" t="e">
            <v>#N/A</v>
          </cell>
          <cell r="M68" t="e">
            <v>#N/A</v>
          </cell>
          <cell r="S68" t="str">
            <v/>
          </cell>
          <cell r="W68" t="str">
            <v/>
          </cell>
        </row>
        <row r="69">
          <cell r="J69" t="str">
            <v/>
          </cell>
          <cell r="K69" t="str">
            <v/>
          </cell>
          <cell r="L69" t="e">
            <v>#N/A</v>
          </cell>
          <cell r="M69" t="e">
            <v>#N/A</v>
          </cell>
          <cell r="S69" t="str">
            <v/>
          </cell>
          <cell r="W69" t="str">
            <v/>
          </cell>
        </row>
        <row r="70">
          <cell r="J70" t="str">
            <v/>
          </cell>
          <cell r="K70" t="str">
            <v/>
          </cell>
          <cell r="L70" t="e">
            <v>#N/A</v>
          </cell>
          <cell r="M70" t="e">
            <v>#N/A</v>
          </cell>
          <cell r="S70" t="str">
            <v/>
          </cell>
          <cell r="W70" t="str">
            <v/>
          </cell>
        </row>
        <row r="71">
          <cell r="J71" t="str">
            <v/>
          </cell>
          <cell r="K71" t="str">
            <v/>
          </cell>
          <cell r="L71" t="e">
            <v>#N/A</v>
          </cell>
          <cell r="M71" t="e">
            <v>#N/A</v>
          </cell>
          <cell r="S71" t="str">
            <v/>
          </cell>
          <cell r="W71" t="str">
            <v/>
          </cell>
        </row>
        <row r="72">
          <cell r="J72" t="str">
            <v/>
          </cell>
          <cell r="K72" t="str">
            <v/>
          </cell>
          <cell r="L72" t="e">
            <v>#N/A</v>
          </cell>
          <cell r="M72" t="e">
            <v>#N/A</v>
          </cell>
          <cell r="S72" t="str">
            <v/>
          </cell>
          <cell r="W72" t="str">
            <v/>
          </cell>
        </row>
        <row r="73">
          <cell r="J73" t="str">
            <v/>
          </cell>
          <cell r="K73" t="str">
            <v/>
          </cell>
          <cell r="L73" t="e">
            <v>#N/A</v>
          </cell>
          <cell r="M73" t="e">
            <v>#N/A</v>
          </cell>
          <cell r="S73" t="str">
            <v/>
          </cell>
          <cell r="W73" t="str">
            <v/>
          </cell>
        </row>
        <row r="74">
          <cell r="J74" t="str">
            <v/>
          </cell>
          <cell r="K74" t="str">
            <v/>
          </cell>
          <cell r="L74" t="e">
            <v>#N/A</v>
          </cell>
          <cell r="M74" t="e">
            <v>#N/A</v>
          </cell>
          <cell r="S74" t="str">
            <v/>
          </cell>
          <cell r="W74" t="str">
            <v/>
          </cell>
        </row>
        <row r="75">
          <cell r="J75" t="str">
            <v/>
          </cell>
          <cell r="K75" t="str">
            <v/>
          </cell>
          <cell r="L75" t="e">
            <v>#N/A</v>
          </cell>
          <cell r="M75" t="e">
            <v>#N/A</v>
          </cell>
          <cell r="S75" t="str">
            <v/>
          </cell>
          <cell r="W75" t="str">
            <v/>
          </cell>
        </row>
        <row r="76">
          <cell r="J76" t="str">
            <v/>
          </cell>
          <cell r="K76" t="str">
            <v/>
          </cell>
          <cell r="L76" t="e">
            <v>#N/A</v>
          </cell>
          <cell r="M76" t="e">
            <v>#N/A</v>
          </cell>
          <cell r="S76" t="str">
            <v/>
          </cell>
          <cell r="W76" t="str">
            <v/>
          </cell>
        </row>
        <row r="77">
          <cell r="J77" t="str">
            <v/>
          </cell>
          <cell r="K77" t="str">
            <v/>
          </cell>
          <cell r="L77" t="e">
            <v>#N/A</v>
          </cell>
          <cell r="M77" t="e">
            <v>#N/A</v>
          </cell>
          <cell r="S77" t="str">
            <v/>
          </cell>
          <cell r="W77" t="str">
            <v/>
          </cell>
        </row>
        <row r="78">
          <cell r="J78" t="str">
            <v/>
          </cell>
          <cell r="K78" t="str">
            <v/>
          </cell>
          <cell r="L78" t="e">
            <v>#N/A</v>
          </cell>
          <cell r="M78" t="e">
            <v>#N/A</v>
          </cell>
          <cell r="S78" t="str">
            <v/>
          </cell>
          <cell r="W78" t="str">
            <v/>
          </cell>
        </row>
        <row r="79">
          <cell r="J79" t="str">
            <v/>
          </cell>
          <cell r="K79" t="str">
            <v/>
          </cell>
          <cell r="L79" t="e">
            <v>#N/A</v>
          </cell>
          <cell r="M79" t="e">
            <v>#N/A</v>
          </cell>
          <cell r="S79" t="str">
            <v/>
          </cell>
          <cell r="W79" t="str">
            <v/>
          </cell>
        </row>
        <row r="80">
          <cell r="J80" t="str">
            <v/>
          </cell>
          <cell r="K80" t="str">
            <v/>
          </cell>
          <cell r="L80" t="e">
            <v>#N/A</v>
          </cell>
          <cell r="M80" t="e">
            <v>#N/A</v>
          </cell>
          <cell r="S80" t="str">
            <v/>
          </cell>
          <cell r="W80" t="str">
            <v/>
          </cell>
        </row>
        <row r="81">
          <cell r="J81" t="str">
            <v/>
          </cell>
          <cell r="K81" t="str">
            <v/>
          </cell>
          <cell r="L81" t="e">
            <v>#N/A</v>
          </cell>
          <cell r="M81" t="e">
            <v>#N/A</v>
          </cell>
          <cell r="S81" t="str">
            <v/>
          </cell>
          <cell r="W81" t="str">
            <v/>
          </cell>
        </row>
        <row r="82">
          <cell r="J82" t="str">
            <v/>
          </cell>
          <cell r="K82" t="str">
            <v/>
          </cell>
          <cell r="L82" t="e">
            <v>#N/A</v>
          </cell>
          <cell r="M82" t="e">
            <v>#N/A</v>
          </cell>
          <cell r="S82" t="str">
            <v/>
          </cell>
          <cell r="W82" t="str">
            <v/>
          </cell>
        </row>
        <row r="83">
          <cell r="J83" t="str">
            <v/>
          </cell>
          <cell r="K83" t="str">
            <v/>
          </cell>
          <cell r="L83" t="e">
            <v>#N/A</v>
          </cell>
          <cell r="M83" t="e">
            <v>#N/A</v>
          </cell>
          <cell r="S83" t="str">
            <v/>
          </cell>
          <cell r="W83" t="str">
            <v/>
          </cell>
        </row>
        <row r="84">
          <cell r="J84" t="str">
            <v/>
          </cell>
          <cell r="K84" t="str">
            <v/>
          </cell>
          <cell r="L84" t="e">
            <v>#N/A</v>
          </cell>
          <cell r="M84" t="e">
            <v>#N/A</v>
          </cell>
          <cell r="S84" t="str">
            <v/>
          </cell>
          <cell r="W84" t="str">
            <v/>
          </cell>
        </row>
        <row r="85">
          <cell r="J85" t="str">
            <v/>
          </cell>
          <cell r="K85" t="str">
            <v/>
          </cell>
          <cell r="L85" t="e">
            <v>#N/A</v>
          </cell>
          <cell r="M85" t="e">
            <v>#N/A</v>
          </cell>
          <cell r="S85" t="str">
            <v/>
          </cell>
          <cell r="W85" t="str">
            <v/>
          </cell>
        </row>
        <row r="86">
          <cell r="J86" t="str">
            <v/>
          </cell>
          <cell r="K86" t="str">
            <v/>
          </cell>
          <cell r="L86" t="e">
            <v>#N/A</v>
          </cell>
          <cell r="M86" t="e">
            <v>#N/A</v>
          </cell>
          <cell r="S86" t="str">
            <v/>
          </cell>
          <cell r="W86" t="str">
            <v/>
          </cell>
        </row>
        <row r="87">
          <cell r="J87" t="str">
            <v/>
          </cell>
          <cell r="K87" t="str">
            <v/>
          </cell>
          <cell r="L87" t="e">
            <v>#N/A</v>
          </cell>
          <cell r="M87" t="e">
            <v>#N/A</v>
          </cell>
          <cell r="S87" t="str">
            <v/>
          </cell>
          <cell r="W87" t="str">
            <v/>
          </cell>
        </row>
        <row r="88">
          <cell r="J88" t="str">
            <v/>
          </cell>
          <cell r="K88" t="str">
            <v/>
          </cell>
          <cell r="L88" t="e">
            <v>#N/A</v>
          </cell>
          <cell r="M88" t="e">
            <v>#N/A</v>
          </cell>
          <cell r="S88" t="str">
            <v/>
          </cell>
          <cell r="W88" t="str">
            <v/>
          </cell>
        </row>
        <row r="89">
          <cell r="J89" t="str">
            <v/>
          </cell>
          <cell r="K89" t="str">
            <v/>
          </cell>
          <cell r="L89" t="e">
            <v>#N/A</v>
          </cell>
          <cell r="M89" t="e">
            <v>#N/A</v>
          </cell>
          <cell r="S89" t="str">
            <v/>
          </cell>
          <cell r="W89" t="str">
            <v/>
          </cell>
        </row>
        <row r="90">
          <cell r="J90" t="str">
            <v/>
          </cell>
          <cell r="K90" t="str">
            <v/>
          </cell>
          <cell r="L90" t="e">
            <v>#N/A</v>
          </cell>
          <cell r="M90" t="e">
            <v>#N/A</v>
          </cell>
          <cell r="S90" t="str">
            <v/>
          </cell>
          <cell r="W90" t="str">
            <v/>
          </cell>
        </row>
        <row r="91">
          <cell r="J91" t="str">
            <v/>
          </cell>
          <cell r="K91" t="str">
            <v/>
          </cell>
          <cell r="L91" t="e">
            <v>#N/A</v>
          </cell>
          <cell r="M91" t="e">
            <v>#N/A</v>
          </cell>
          <cell r="S91" t="str">
            <v/>
          </cell>
          <cell r="W91" t="str">
            <v/>
          </cell>
        </row>
        <row r="92">
          <cell r="J92" t="str">
            <v/>
          </cell>
          <cell r="K92" t="str">
            <v/>
          </cell>
          <cell r="L92" t="e">
            <v>#N/A</v>
          </cell>
          <cell r="M92" t="e">
            <v>#N/A</v>
          </cell>
          <cell r="S92" t="str">
            <v/>
          </cell>
          <cell r="W92" t="str">
            <v/>
          </cell>
        </row>
        <row r="93">
          <cell r="J93" t="str">
            <v/>
          </cell>
          <cell r="K93" t="str">
            <v/>
          </cell>
          <cell r="L93" t="e">
            <v>#N/A</v>
          </cell>
          <cell r="M93" t="e">
            <v>#N/A</v>
          </cell>
          <cell r="S93" t="str">
            <v/>
          </cell>
          <cell r="W93" t="str">
            <v/>
          </cell>
        </row>
        <row r="94">
          <cell r="J94" t="str">
            <v/>
          </cell>
          <cell r="K94" t="str">
            <v/>
          </cell>
          <cell r="L94" t="e">
            <v>#N/A</v>
          </cell>
          <cell r="M94" t="e">
            <v>#N/A</v>
          </cell>
          <cell r="S94" t="str">
            <v/>
          </cell>
          <cell r="W94" t="str">
            <v/>
          </cell>
        </row>
        <row r="95">
          <cell r="J95" t="str">
            <v/>
          </cell>
          <cell r="K95" t="str">
            <v/>
          </cell>
          <cell r="L95" t="e">
            <v>#N/A</v>
          </cell>
          <cell r="M95" t="e">
            <v>#N/A</v>
          </cell>
          <cell r="S95" t="str">
            <v/>
          </cell>
          <cell r="W95" t="str">
            <v/>
          </cell>
        </row>
        <row r="96">
          <cell r="J96" t="str">
            <v/>
          </cell>
          <cell r="K96" t="str">
            <v/>
          </cell>
          <cell r="L96" t="e">
            <v>#N/A</v>
          </cell>
          <cell r="M96" t="e">
            <v>#N/A</v>
          </cell>
          <cell r="S96" t="str">
            <v/>
          </cell>
          <cell r="W96" t="str">
            <v/>
          </cell>
        </row>
        <row r="97">
          <cell r="J97" t="str">
            <v/>
          </cell>
          <cell r="K97" t="str">
            <v/>
          </cell>
          <cell r="L97" t="e">
            <v>#N/A</v>
          </cell>
          <cell r="M97" t="e">
            <v>#N/A</v>
          </cell>
          <cell r="S97" t="str">
            <v/>
          </cell>
          <cell r="W97" t="str">
            <v/>
          </cell>
        </row>
        <row r="98">
          <cell r="J98" t="str">
            <v/>
          </cell>
          <cell r="K98" t="str">
            <v/>
          </cell>
          <cell r="L98" t="e">
            <v>#N/A</v>
          </cell>
          <cell r="M98" t="e">
            <v>#N/A</v>
          </cell>
          <cell r="S98" t="str">
            <v/>
          </cell>
          <cell r="W98" t="str">
            <v/>
          </cell>
        </row>
        <row r="99">
          <cell r="J99" t="str">
            <v/>
          </cell>
          <cell r="K99" t="str">
            <v/>
          </cell>
          <cell r="L99" t="e">
            <v>#N/A</v>
          </cell>
          <cell r="M99" t="e">
            <v>#N/A</v>
          </cell>
          <cell r="S99" t="str">
            <v/>
          </cell>
          <cell r="W99" t="str">
            <v/>
          </cell>
        </row>
        <row r="100">
          <cell r="J100" t="str">
            <v/>
          </cell>
          <cell r="K100" t="str">
            <v/>
          </cell>
          <cell r="L100" t="e">
            <v>#N/A</v>
          </cell>
          <cell r="M100" t="e">
            <v>#N/A</v>
          </cell>
          <cell r="S100" t="str">
            <v/>
          </cell>
          <cell r="W100" t="str">
            <v/>
          </cell>
        </row>
        <row r="101">
          <cell r="J101" t="str">
            <v/>
          </cell>
          <cell r="K101" t="str">
            <v/>
          </cell>
          <cell r="L101" t="e">
            <v>#N/A</v>
          </cell>
          <cell r="M101" t="e">
            <v>#N/A</v>
          </cell>
          <cell r="S101" t="str">
            <v/>
          </cell>
          <cell r="W101" t="str">
            <v/>
          </cell>
        </row>
        <row r="102">
          <cell r="J102" t="str">
            <v/>
          </cell>
          <cell r="K102" t="str">
            <v/>
          </cell>
          <cell r="L102" t="e">
            <v>#N/A</v>
          </cell>
          <cell r="M102" t="e">
            <v>#N/A</v>
          </cell>
          <cell r="S102" t="str">
            <v/>
          </cell>
          <cell r="W102" t="str">
            <v/>
          </cell>
        </row>
        <row r="103">
          <cell r="J103" t="str">
            <v/>
          </cell>
          <cell r="K103" t="str">
            <v/>
          </cell>
          <cell r="L103" t="e">
            <v>#N/A</v>
          </cell>
          <cell r="M103" t="e">
            <v>#N/A</v>
          </cell>
          <cell r="S103" t="str">
            <v/>
          </cell>
          <cell r="W103" t="str">
            <v/>
          </cell>
        </row>
        <row r="104">
          <cell r="J104" t="str">
            <v/>
          </cell>
          <cell r="K104" t="str">
            <v/>
          </cell>
          <cell r="L104" t="e">
            <v>#N/A</v>
          </cell>
          <cell r="M104" t="e">
            <v>#N/A</v>
          </cell>
          <cell r="S104" t="str">
            <v/>
          </cell>
          <cell r="W104" t="str">
            <v/>
          </cell>
        </row>
        <row r="105">
          <cell r="J105" t="str">
            <v/>
          </cell>
          <cell r="K105" t="str">
            <v/>
          </cell>
          <cell r="L105" t="e">
            <v>#N/A</v>
          </cell>
          <cell r="M105" t="e">
            <v>#N/A</v>
          </cell>
          <cell r="S105" t="str">
            <v/>
          </cell>
          <cell r="W105" t="str">
            <v/>
          </cell>
        </row>
        <row r="106">
          <cell r="J106" t="str">
            <v/>
          </cell>
          <cell r="K106" t="str">
            <v/>
          </cell>
          <cell r="L106" t="e">
            <v>#N/A</v>
          </cell>
          <cell r="M106" t="e">
            <v>#N/A</v>
          </cell>
          <cell r="S106" t="str">
            <v/>
          </cell>
          <cell r="W106" t="str">
            <v/>
          </cell>
        </row>
        <row r="107">
          <cell r="J107" t="str">
            <v/>
          </cell>
          <cell r="K107" t="str">
            <v/>
          </cell>
          <cell r="L107" t="e">
            <v>#N/A</v>
          </cell>
          <cell r="M107" t="e">
            <v>#N/A</v>
          </cell>
          <cell r="S107" t="str">
            <v/>
          </cell>
          <cell r="W107" t="str">
            <v/>
          </cell>
        </row>
        <row r="108">
          <cell r="J108" t="str">
            <v/>
          </cell>
          <cell r="K108" t="str">
            <v/>
          </cell>
          <cell r="L108" t="e">
            <v>#N/A</v>
          </cell>
          <cell r="M108" t="e">
            <v>#N/A</v>
          </cell>
          <cell r="S108" t="str">
            <v/>
          </cell>
          <cell r="W108" t="str">
            <v/>
          </cell>
        </row>
        <row r="109">
          <cell r="J109" t="str">
            <v/>
          </cell>
          <cell r="K109" t="str">
            <v/>
          </cell>
          <cell r="L109" t="e">
            <v>#N/A</v>
          </cell>
          <cell r="M109" t="e">
            <v>#N/A</v>
          </cell>
          <cell r="S109" t="str">
            <v/>
          </cell>
          <cell r="W109" t="str">
            <v/>
          </cell>
        </row>
        <row r="110">
          <cell r="J110" t="str">
            <v/>
          </cell>
          <cell r="K110" t="str">
            <v/>
          </cell>
          <cell r="L110" t="e">
            <v>#N/A</v>
          </cell>
          <cell r="M110" t="e">
            <v>#N/A</v>
          </cell>
          <cell r="S110" t="str">
            <v/>
          </cell>
          <cell r="W110" t="str">
            <v/>
          </cell>
        </row>
        <row r="111">
          <cell r="J111" t="str">
            <v/>
          </cell>
          <cell r="K111" t="str">
            <v/>
          </cell>
          <cell r="L111" t="e">
            <v>#N/A</v>
          </cell>
          <cell r="M111" t="e">
            <v>#N/A</v>
          </cell>
          <cell r="S111" t="str">
            <v/>
          </cell>
          <cell r="W111" t="str">
            <v/>
          </cell>
        </row>
        <row r="112">
          <cell r="J112" t="str">
            <v/>
          </cell>
          <cell r="K112" t="str">
            <v/>
          </cell>
          <cell r="L112" t="e">
            <v>#N/A</v>
          </cell>
          <cell r="M112" t="e">
            <v>#N/A</v>
          </cell>
          <cell r="S112" t="str">
            <v/>
          </cell>
          <cell r="W112" t="str">
            <v/>
          </cell>
        </row>
        <row r="113">
          <cell r="J113" t="str">
            <v/>
          </cell>
          <cell r="K113" t="str">
            <v/>
          </cell>
          <cell r="L113" t="e">
            <v>#N/A</v>
          </cell>
          <cell r="M113" t="e">
            <v>#N/A</v>
          </cell>
          <cell r="S113" t="str">
            <v/>
          </cell>
          <cell r="W113" t="str">
            <v/>
          </cell>
        </row>
        <row r="114">
          <cell r="J114" t="str">
            <v/>
          </cell>
          <cell r="K114" t="str">
            <v/>
          </cell>
          <cell r="L114" t="e">
            <v>#N/A</v>
          </cell>
          <cell r="M114" t="e">
            <v>#N/A</v>
          </cell>
          <cell r="S114" t="str">
            <v/>
          </cell>
          <cell r="W114" t="str">
            <v/>
          </cell>
        </row>
        <row r="115">
          <cell r="J115" t="str">
            <v/>
          </cell>
          <cell r="K115" t="str">
            <v/>
          </cell>
          <cell r="L115" t="e">
            <v>#N/A</v>
          </cell>
          <cell r="M115" t="e">
            <v>#N/A</v>
          </cell>
          <cell r="S115" t="str">
            <v/>
          </cell>
          <cell r="W115" t="str">
            <v/>
          </cell>
        </row>
        <row r="116">
          <cell r="J116" t="str">
            <v/>
          </cell>
          <cell r="K116" t="str">
            <v/>
          </cell>
          <cell r="L116" t="e">
            <v>#N/A</v>
          </cell>
          <cell r="M116" t="e">
            <v>#N/A</v>
          </cell>
          <cell r="S116" t="str">
            <v/>
          </cell>
          <cell r="W116" t="str">
            <v/>
          </cell>
        </row>
        <row r="117">
          <cell r="J117" t="str">
            <v/>
          </cell>
          <cell r="K117" t="str">
            <v/>
          </cell>
          <cell r="L117" t="e">
            <v>#N/A</v>
          </cell>
          <cell r="M117" t="e">
            <v>#N/A</v>
          </cell>
          <cell r="S117" t="str">
            <v/>
          </cell>
          <cell r="W117" t="str">
            <v/>
          </cell>
        </row>
        <row r="118">
          <cell r="J118" t="str">
            <v/>
          </cell>
          <cell r="K118" t="str">
            <v/>
          </cell>
          <cell r="L118" t="e">
            <v>#N/A</v>
          </cell>
          <cell r="M118" t="e">
            <v>#N/A</v>
          </cell>
          <cell r="S118" t="str">
            <v/>
          </cell>
          <cell r="W118" t="str">
            <v/>
          </cell>
        </row>
        <row r="119">
          <cell r="J119" t="str">
            <v/>
          </cell>
          <cell r="K119" t="str">
            <v/>
          </cell>
          <cell r="L119" t="e">
            <v>#N/A</v>
          </cell>
          <cell r="M119" t="e">
            <v>#N/A</v>
          </cell>
          <cell r="S119" t="str">
            <v/>
          </cell>
          <cell r="W119" t="str">
            <v/>
          </cell>
        </row>
      </sheetData>
      <sheetData sheetId="2">
        <row r="20">
          <cell r="B20">
            <v>111.322</v>
          </cell>
          <cell r="D20">
            <v>0.437</v>
          </cell>
        </row>
        <row r="21">
          <cell r="B21">
            <v>0.53900000000000003</v>
          </cell>
          <cell r="D21">
            <v>0.218</v>
          </cell>
        </row>
        <row r="31">
          <cell r="B31" t="str">
            <v>Wilcoxon Signed-Rank</v>
          </cell>
        </row>
      </sheetData>
      <sheetData sheetId="3">
        <row r="11">
          <cell r="L11">
            <v>6.2427908781459987E-5</v>
          </cell>
        </row>
      </sheetData>
      <sheetData sheetId="4"/>
    </sheetDataSet>
  </externalBook>
</externalLink>
</file>

<file path=xl/persons/person.xml><?xml version="1.0" encoding="utf-8"?>
<personList xmlns="http://schemas.microsoft.com/office/spreadsheetml/2018/threadedcomments" xmlns:x="http://schemas.openxmlformats.org/spreadsheetml/2006/main">
  <person displayName="Roth, Jason - FPAC-NRCS, OR" id="{69F21FE4-F0D9-4B48-AC6B-3672BCB8D8E4}" userId="S::jason.roth@usda.gov::cf6c01e9-45b7-43e0-bd67-81b273f66df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8BFBF3-278B-4403-8595-7ADC3A7BBB50}" name="parameter_tab" displayName="parameter_tab" ref="D10:G34" totalsRowShown="0" headerRowDxfId="4">
  <autoFilter ref="D10:G34" xr:uid="{C58BFBF3-278B-4403-8595-7ADC3A7BBB50}"/>
  <tableColumns count="4">
    <tableColumn id="1" xr3:uid="{27700EE0-FA8A-4FBF-A0D5-5B2EB2C92F61}" name="parameter"/>
    <tableColumn id="2" xr3:uid="{8E4D609E-2D4A-45C5-8F82-C2E6BF5E0E0C}" name="metric"/>
    <tableColumn id="3" xr3:uid="{D2BDE4C1-F3A3-4041-B31E-45E198CDAE85}" name="unit"/>
    <tableColumn id="4" xr3:uid="{DEE4E7FC-A451-4377-83A6-03BF3565FF89}" name="conv_fac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E20CAB-CD3A-4335-928C-79E92F58232B}" name="practice_tab" displayName="practice_tab" ref="A10:B190" totalsRowShown="0" headerRowDxfId="3">
  <autoFilter ref="A10:B190" xr:uid="{9AE20CAB-CD3A-4335-928C-79E92F58232B}"/>
  <tableColumns count="2">
    <tableColumn id="1" xr3:uid="{B492DA5D-61AF-4735-B1C6-72137F61EB5D}" name="cps_code"/>
    <tableColumn id="2" xr3:uid="{FC734B1F-4390-4407-AAFB-DF616D3E0BD1}" name="cps_name" dataDxfId="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0D132E8-65C2-46FD-9CFD-8D6F367634AC}" name="alpha_tab" displayName="alpha_tab" ref="I10:I13" totalsRowShown="0" headerRowDxfId="1">
  <autoFilter ref="I10:I13" xr:uid="{20D132E8-65C2-46FD-9CFD-8D6F367634AC}"/>
  <tableColumns count="1">
    <tableColumn id="1" xr3:uid="{4E6444CA-FFD6-4E3E-A893-DBE4A784D64E}" name="Alpha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7E3AE7-C90C-47A9-968F-B41C0A66515C}" name="comp_tab" displayName="comp_tab" ref="K10:K12" totalsRowShown="0" headerRowDxfId="0">
  <autoFilter ref="K10:K12" xr:uid="{537E3AE7-C90C-47A9-968F-B41C0A66515C}"/>
  <tableColumns count="1">
    <tableColumn id="1" xr3:uid="{2E3772E8-D0B4-451B-BBA3-F7E49217AB86}" name="Comparison Typ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 dT="2023-06-06T21:01:23.92" personId="{69F21FE4-F0D9-4B48-AC6B-3672BCB8D8E4}" id="{BC372544-D94E-4C57-BEEF-21BDA9C8F7C6}">
    <text xml:space="preserve">Merge these into one table. You can reference a table column from a table </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7" Type="http://schemas.microsoft.com/office/2017/10/relationships/threadedComment" Target="../threadedComments/threadedComment1.xml"/><Relationship Id="rId2" Type="http://schemas.openxmlformats.org/officeDocument/2006/relationships/table" Target="../tables/table1.xml"/><Relationship Id="rId1" Type="http://schemas.openxmlformats.org/officeDocument/2006/relationships/vmlDrawing" Target="../drawings/vmlDrawing1.vml"/><Relationship Id="rId6" Type="http://schemas.openxmlformats.org/officeDocument/2006/relationships/comments" Target="../comments1.xml"/><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epa.gov/sites/default/files/2016-06/documents/chapter_7_may_2016_508.pdf" TargetMode="External"/><Relationship Id="rId2" Type="http://schemas.openxmlformats.org/officeDocument/2006/relationships/hyperlink" Target="https://real-statistics.com/tests-normality-and-symmetry/statistical-tests-normality-symmetry/shapiro-wilk-expanded-test/" TargetMode="External"/><Relationship Id="rId1" Type="http://schemas.openxmlformats.org/officeDocument/2006/relationships/hyperlink" Target="https://www.automateexcel.com/stats/shapiro-wilk-royston-test/" TargetMode="External"/><Relationship Id="rId5" Type="http://schemas.openxmlformats.org/officeDocument/2006/relationships/hyperlink" Target="https://support.microsoft.com/en-au/office/ftest-function-4c9e1202-53fe-428c-a737-976f6fc3f9fd" TargetMode="External"/><Relationship Id="rId4" Type="http://schemas.openxmlformats.org/officeDocument/2006/relationships/hyperlink" Target="https://real-statistics.com/non-parametric-tests/wilcoxon-signed-ranks-tes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92231-D161-42B2-A1F1-FB48A4C6D320}">
  <sheetPr codeName="Sheet8"/>
  <dimension ref="A1:XFC44"/>
  <sheetViews>
    <sheetView zoomScale="85" zoomScaleNormal="85" workbookViewId="0">
      <pane ySplit="3" topLeftCell="A6" activePane="bottomLeft" state="frozen"/>
      <selection pane="bottomLeft" activeCell="A45" sqref="A45:XFD51"/>
    </sheetView>
  </sheetViews>
  <sheetFormatPr defaultColWidth="0" defaultRowHeight="15" customHeight="1" zeroHeight="1" x14ac:dyDescent="0.3"/>
  <cols>
    <col min="1" max="1" width="6.6640625" customWidth="1"/>
    <col min="2" max="2" width="22.109375" customWidth="1"/>
    <col min="3" max="3" width="35.44140625" customWidth="1"/>
    <col min="4" max="4" width="151.6640625" customWidth="1"/>
    <col min="5" max="16383" width="9.109375" hidden="1"/>
    <col min="16384" max="16384" width="23.88671875" hidden="1" customWidth="1"/>
  </cols>
  <sheetData>
    <row r="1" spans="1:4" s="165" customFormat="1" ht="18.600000000000001" thickBot="1" x14ac:dyDescent="0.4">
      <c r="A1" s="164" t="s">
        <v>0</v>
      </c>
    </row>
    <row r="2" spans="1:4" s="39" customFormat="1" ht="19.5" customHeight="1" thickBot="1" x14ac:dyDescent="0.35">
      <c r="A2" s="171" t="s">
        <v>476</v>
      </c>
      <c r="B2" s="172"/>
      <c r="C2" s="172"/>
      <c r="D2" s="172"/>
    </row>
    <row r="3" spans="1:4" s="166" customFormat="1" ht="408.75" customHeight="1" thickBot="1" x14ac:dyDescent="0.35">
      <c r="B3" s="167"/>
    </row>
    <row r="4" spans="1:4" s="39" customFormat="1" ht="21.6" thickBot="1" x14ac:dyDescent="0.35">
      <c r="A4" s="130" t="s">
        <v>433</v>
      </c>
      <c r="B4" s="131"/>
      <c r="C4" s="131"/>
    </row>
    <row r="5" spans="1:4" ht="15.6" x14ac:dyDescent="0.3">
      <c r="A5" s="40" t="s">
        <v>434</v>
      </c>
      <c r="B5" s="132"/>
      <c r="C5" s="132"/>
    </row>
    <row r="6" spans="1:4" s="39" customFormat="1" ht="16.2" thickBot="1" x14ac:dyDescent="0.35">
      <c r="A6" s="133" t="s">
        <v>435</v>
      </c>
      <c r="B6" s="133" t="s">
        <v>436</v>
      </c>
      <c r="C6" s="133" t="s">
        <v>437</v>
      </c>
      <c r="D6" s="134" t="s">
        <v>316</v>
      </c>
    </row>
    <row r="7" spans="1:4" ht="14.4" x14ac:dyDescent="0.3">
      <c r="A7" s="135">
        <v>1</v>
      </c>
      <c r="B7" s="136" t="s">
        <v>438</v>
      </c>
      <c r="C7" s="136" t="s">
        <v>439</v>
      </c>
      <c r="D7" s="137" t="s">
        <v>440</v>
      </c>
    </row>
    <row r="8" spans="1:4" ht="43.2" x14ac:dyDescent="0.3">
      <c r="A8" s="138">
        <v>2</v>
      </c>
      <c r="B8" s="139" t="s">
        <v>441</v>
      </c>
      <c r="C8" s="139" t="s">
        <v>442</v>
      </c>
      <c r="D8" s="140" t="s">
        <v>443</v>
      </c>
    </row>
    <row r="9" spans="1:4" ht="14.4" x14ac:dyDescent="0.3">
      <c r="A9" s="138">
        <v>3</v>
      </c>
      <c r="B9" s="139" t="s">
        <v>413</v>
      </c>
      <c r="C9" s="139" t="s">
        <v>444</v>
      </c>
      <c r="D9" s="140" t="s">
        <v>445</v>
      </c>
    </row>
    <row r="10" spans="1:4" ht="14.4" x14ac:dyDescent="0.3">
      <c r="A10" s="138">
        <v>4</v>
      </c>
      <c r="B10" s="139" t="s">
        <v>409</v>
      </c>
      <c r="C10" s="139" t="s">
        <v>444</v>
      </c>
      <c r="D10" s="140" t="s">
        <v>446</v>
      </c>
    </row>
    <row r="11" spans="1:4" ht="14.4" x14ac:dyDescent="0.3">
      <c r="A11" s="138">
        <v>5</v>
      </c>
      <c r="B11" s="139" t="s">
        <v>404</v>
      </c>
      <c r="C11" s="139" t="s">
        <v>444</v>
      </c>
      <c r="D11" s="140" t="s">
        <v>449</v>
      </c>
    </row>
    <row r="12" spans="1:4" ht="43.2" x14ac:dyDescent="0.3">
      <c r="A12" s="138">
        <v>6</v>
      </c>
      <c r="B12" s="139" t="s">
        <v>6</v>
      </c>
      <c r="C12" s="139" t="s">
        <v>447</v>
      </c>
      <c r="D12" s="140" t="s">
        <v>448</v>
      </c>
    </row>
    <row r="13" spans="1:4" ht="14.4" x14ac:dyDescent="0.3">
      <c r="A13" s="138">
        <v>7</v>
      </c>
      <c r="B13" s="139" t="s">
        <v>8</v>
      </c>
      <c r="C13" s="139" t="s">
        <v>444</v>
      </c>
      <c r="D13" s="140" t="s">
        <v>451</v>
      </c>
    </row>
    <row r="14" spans="1:4" ht="14.4" x14ac:dyDescent="0.3">
      <c r="A14" s="138">
        <v>8</v>
      </c>
      <c r="B14" s="139" t="s">
        <v>408</v>
      </c>
      <c r="C14" s="139" t="s">
        <v>447</v>
      </c>
      <c r="D14" s="140" t="s">
        <v>450</v>
      </c>
    </row>
    <row r="15" spans="1:4" ht="43.2" x14ac:dyDescent="0.3">
      <c r="A15" s="138">
        <v>9</v>
      </c>
      <c r="B15" s="139" t="s">
        <v>9</v>
      </c>
      <c r="C15" s="139" t="s">
        <v>447</v>
      </c>
      <c r="D15" s="140" t="s">
        <v>452</v>
      </c>
    </row>
    <row r="16" spans="1:4" ht="14.4" x14ac:dyDescent="0.3">
      <c r="A16" s="138">
        <v>10</v>
      </c>
      <c r="B16" s="139" t="s">
        <v>410</v>
      </c>
      <c r="C16" s="139" t="s">
        <v>444</v>
      </c>
      <c r="D16" s="140" t="s">
        <v>477</v>
      </c>
    </row>
    <row r="17" spans="1:4" s="39" customFormat="1" thickBot="1" x14ac:dyDescent="0.35">
      <c r="A17" s="141">
        <v>11</v>
      </c>
      <c r="B17" s="142" t="s">
        <v>12</v>
      </c>
      <c r="C17" s="142" t="s">
        <v>444</v>
      </c>
      <c r="D17" s="143" t="s">
        <v>454</v>
      </c>
    </row>
    <row r="18" spans="1:4" ht="15.6" x14ac:dyDescent="0.3">
      <c r="A18" s="144" t="s">
        <v>455</v>
      </c>
      <c r="B18" s="145"/>
      <c r="C18" s="145"/>
      <c r="D18" s="146"/>
    </row>
    <row r="19" spans="1:4" s="39" customFormat="1" thickBot="1" x14ac:dyDescent="0.35">
      <c r="A19" s="147" t="s">
        <v>435</v>
      </c>
      <c r="B19" s="148" t="s">
        <v>436</v>
      </c>
      <c r="C19" s="148" t="s">
        <v>437</v>
      </c>
      <c r="D19" s="149" t="s">
        <v>316</v>
      </c>
    </row>
    <row r="20" spans="1:4" ht="14.4" x14ac:dyDescent="0.3">
      <c r="A20" s="150">
        <v>12</v>
      </c>
      <c r="B20" s="151" t="s">
        <v>456</v>
      </c>
      <c r="C20" s="151" t="s">
        <v>439</v>
      </c>
      <c r="D20" s="152" t="s">
        <v>457</v>
      </c>
    </row>
    <row r="21" spans="1:4" ht="14.4" x14ac:dyDescent="0.3">
      <c r="A21" s="138">
        <v>13</v>
      </c>
      <c r="B21" s="139" t="s">
        <v>13</v>
      </c>
      <c r="C21" s="139" t="s">
        <v>453</v>
      </c>
      <c r="D21" s="153" t="s">
        <v>458</v>
      </c>
    </row>
    <row r="22" spans="1:4" ht="14.4" x14ac:dyDescent="0.3">
      <c r="A22" s="138">
        <v>14</v>
      </c>
      <c r="B22" s="139" t="s">
        <v>14</v>
      </c>
      <c r="C22" s="139" t="s">
        <v>453</v>
      </c>
      <c r="D22" s="153" t="s">
        <v>459</v>
      </c>
    </row>
    <row r="23" spans="1:4" ht="14.4" x14ac:dyDescent="0.3">
      <c r="A23" s="138">
        <v>15</v>
      </c>
      <c r="B23" s="139" t="s">
        <v>15</v>
      </c>
      <c r="C23" s="139" t="s">
        <v>453</v>
      </c>
      <c r="D23" s="153" t="s">
        <v>460</v>
      </c>
    </row>
    <row r="24" spans="1:4" ht="14.4" x14ac:dyDescent="0.3">
      <c r="A24" s="138">
        <v>16</v>
      </c>
      <c r="B24" s="139" t="s">
        <v>16</v>
      </c>
      <c r="C24" s="139" t="s">
        <v>453</v>
      </c>
      <c r="D24" s="153" t="s">
        <v>461</v>
      </c>
    </row>
    <row r="25" spans="1:4" ht="14.4" x14ac:dyDescent="0.3">
      <c r="A25" s="138">
        <v>17</v>
      </c>
      <c r="B25" s="139" t="s">
        <v>39</v>
      </c>
      <c r="C25" s="139" t="s">
        <v>453</v>
      </c>
      <c r="D25" s="153" t="s">
        <v>462</v>
      </c>
    </row>
    <row r="26" spans="1:4" ht="14.4" x14ac:dyDescent="0.3">
      <c r="A26" s="138">
        <v>18</v>
      </c>
      <c r="B26" s="139" t="s">
        <v>44</v>
      </c>
      <c r="C26" s="139" t="s">
        <v>453</v>
      </c>
      <c r="D26" s="153" t="s">
        <v>463</v>
      </c>
    </row>
    <row r="27" spans="1:4" ht="14.4" x14ac:dyDescent="0.3">
      <c r="A27" s="138">
        <v>19</v>
      </c>
      <c r="B27" s="139" t="s">
        <v>14</v>
      </c>
      <c r="C27" s="139" t="s">
        <v>453</v>
      </c>
      <c r="D27" s="153" t="s">
        <v>464</v>
      </c>
    </row>
    <row r="28" spans="1:4" ht="28.8" x14ac:dyDescent="0.3">
      <c r="A28" s="138">
        <v>20</v>
      </c>
      <c r="B28" s="139" t="s">
        <v>20</v>
      </c>
      <c r="C28" s="139" t="s">
        <v>453</v>
      </c>
      <c r="D28" s="153" t="s">
        <v>465</v>
      </c>
    </row>
    <row r="29" spans="1:4" ht="43.2" x14ac:dyDescent="0.3">
      <c r="A29" s="138">
        <v>21</v>
      </c>
      <c r="B29" s="139" t="s">
        <v>466</v>
      </c>
      <c r="C29" s="139" t="s">
        <v>453</v>
      </c>
      <c r="D29" s="153" t="s">
        <v>467</v>
      </c>
    </row>
    <row r="30" spans="1:4" ht="28.8" x14ac:dyDescent="0.3">
      <c r="A30" s="138">
        <v>22</v>
      </c>
      <c r="B30" s="139" t="s">
        <v>57</v>
      </c>
      <c r="C30" s="139" t="s">
        <v>453</v>
      </c>
      <c r="D30" s="153" t="s">
        <v>468</v>
      </c>
    </row>
    <row r="31" spans="1:4" thickBot="1" x14ac:dyDescent="0.35">
      <c r="A31" s="141" t="s">
        <v>478</v>
      </c>
      <c r="B31" s="142" t="s">
        <v>432</v>
      </c>
      <c r="C31" s="142" t="s">
        <v>453</v>
      </c>
      <c r="D31" s="154" t="s">
        <v>469</v>
      </c>
    </row>
    <row r="32" spans="1:4" ht="15.6" x14ac:dyDescent="0.3">
      <c r="A32" s="40" t="s">
        <v>470</v>
      </c>
      <c r="B32" s="132"/>
      <c r="C32" s="132"/>
    </row>
    <row r="33" spans="1:4" s="39" customFormat="1" thickBot="1" x14ac:dyDescent="0.35">
      <c r="A33" s="133" t="s">
        <v>435</v>
      </c>
      <c r="B33" s="133" t="s">
        <v>436</v>
      </c>
      <c r="C33" s="133" t="s">
        <v>437</v>
      </c>
      <c r="D33" s="133" t="s">
        <v>316</v>
      </c>
    </row>
    <row r="34" spans="1:4" ht="14.4" x14ac:dyDescent="0.3">
      <c r="A34" s="155">
        <v>28</v>
      </c>
      <c r="B34" s="156" t="s">
        <v>471</v>
      </c>
      <c r="C34" s="156" t="s">
        <v>439</v>
      </c>
      <c r="D34" s="157" t="s">
        <v>472</v>
      </c>
    </row>
    <row r="35" spans="1:4" ht="14.4" x14ac:dyDescent="0.3">
      <c r="A35" s="158">
        <v>29</v>
      </c>
      <c r="B35" s="159" t="s">
        <v>60</v>
      </c>
      <c r="C35" s="159" t="s">
        <v>453</v>
      </c>
      <c r="D35" s="160" t="s">
        <v>473</v>
      </c>
    </row>
    <row r="36" spans="1:4" ht="14.4" x14ac:dyDescent="0.3">
      <c r="A36" s="158">
        <v>30</v>
      </c>
      <c r="B36" s="159" t="s">
        <v>61</v>
      </c>
      <c r="C36" s="159" t="s">
        <v>444</v>
      </c>
      <c r="D36" s="160" t="s">
        <v>474</v>
      </c>
    </row>
    <row r="37" spans="1:4" ht="14.4" x14ac:dyDescent="0.3">
      <c r="A37" s="158">
        <v>31</v>
      </c>
      <c r="B37" s="159" t="s">
        <v>425</v>
      </c>
      <c r="C37" s="159" t="s">
        <v>444</v>
      </c>
      <c r="D37" s="160" t="s">
        <v>479</v>
      </c>
    </row>
    <row r="38" spans="1:4" ht="14.4" x14ac:dyDescent="0.3">
      <c r="A38" s="158">
        <v>32</v>
      </c>
      <c r="B38" s="159" t="s">
        <v>426</v>
      </c>
      <c r="C38" s="159" t="s">
        <v>444</v>
      </c>
      <c r="D38" s="160" t="s">
        <v>480</v>
      </c>
    </row>
    <row r="39" spans="1:4" thickBot="1" x14ac:dyDescent="0.35">
      <c r="A39" s="161">
        <v>33</v>
      </c>
      <c r="B39" s="162" t="s">
        <v>3</v>
      </c>
      <c r="C39" s="162" t="s">
        <v>453</v>
      </c>
      <c r="D39" s="163" t="s">
        <v>475</v>
      </c>
    </row>
    <row r="40" spans="1:4" ht="18" hidden="1" customHeight="1" x14ac:dyDescent="0.3">
      <c r="D40" s="86"/>
    </row>
    <row r="41" spans="1:4" ht="33" hidden="1" customHeight="1" x14ac:dyDescent="0.3">
      <c r="D41" s="86"/>
    </row>
    <row r="42" spans="1:4" ht="15" hidden="1" customHeight="1" x14ac:dyDescent="0.3">
      <c r="D42" s="86"/>
    </row>
    <row r="43" spans="1:4" ht="16.5" hidden="1" customHeight="1" x14ac:dyDescent="0.3"/>
    <row r="44" spans="1:4" ht="28.95" hidden="1" customHeight="1" x14ac:dyDescent="0.3"/>
  </sheetData>
  <sheetProtection algorithmName="SHA-512" hashValue="qZjSJpQ9LFBW+lOVBKg6Dk/tvSWHcqhnJYmwCome2ntHJQDJJTbkL3uysgUs2W4VDOMbIFMR9Tz40MI1tobOZw==" saltValue="996vXrJyBcBSYaSw/Vg8hA==" spinCount="100000" sheet="1" objects="1" scenarios="1" selectLockedCells="1" selectUnlockedCells="1"/>
  <mergeCells count="1">
    <mergeCell ref="A2:D2"/>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FBB73-C6DC-4D6B-8F2E-3B4E8C2B85EF}">
  <sheetPr codeName="Sheet5">
    <pageSetUpPr fitToPage="1"/>
  </sheetPr>
  <dimension ref="A1:BE120"/>
  <sheetViews>
    <sheetView showGridLines="0" showRowColHeaders="0" tabSelected="1" zoomScaleNormal="100" workbookViewId="0">
      <selection activeCell="F38" sqref="F38"/>
    </sheetView>
  </sheetViews>
  <sheetFormatPr defaultColWidth="0" defaultRowHeight="14.4" zeroHeight="1" x14ac:dyDescent="0.3"/>
  <cols>
    <col min="1" max="1" width="9.109375" customWidth="1"/>
    <col min="2" max="2" width="26.5546875" customWidth="1"/>
    <col min="3" max="3" width="24.109375" customWidth="1"/>
    <col min="4" max="4" width="22.109375" customWidth="1"/>
    <col min="5" max="5" width="23.33203125" customWidth="1"/>
    <col min="6" max="7" width="20.6640625" customWidth="1"/>
    <col min="8" max="8" width="17.33203125" customWidth="1"/>
    <col min="9" max="9" width="9.109375" customWidth="1"/>
    <col min="10" max="10" width="26.88671875" style="168" hidden="1" customWidth="1"/>
    <col min="11" max="11" width="9.5546875" style="168" hidden="1" customWidth="1"/>
    <col min="12" max="12" width="11.5546875" style="168" hidden="1" customWidth="1"/>
    <col min="13" max="13" width="11.44140625" style="168" hidden="1" customWidth="1"/>
    <col min="14" max="14" width="9.109375" style="95" hidden="1" customWidth="1"/>
    <col min="15" max="15" width="24.88671875" style="95" hidden="1" customWidth="1"/>
    <col min="16" max="16" width="16.44140625" style="95" hidden="1" customWidth="1"/>
    <col min="17" max="17" width="14.88671875" style="95" hidden="1" customWidth="1"/>
    <col min="18" max="18" width="16.44140625" style="95" hidden="1" customWidth="1"/>
    <col min="19" max="19" width="18" style="95" hidden="1" customWidth="1"/>
    <col min="20" max="20" width="12.5546875" style="95" hidden="1" customWidth="1"/>
    <col min="21" max="25" width="12" style="95" hidden="1" customWidth="1"/>
    <col min="26" max="26" width="12.5546875" style="95" hidden="1" customWidth="1"/>
    <col min="27" max="28" width="9.109375" style="95" hidden="1" customWidth="1"/>
    <col min="29" max="29" width="20" style="95" hidden="1" customWidth="1"/>
    <col min="30" max="30" width="14.6640625" style="95" hidden="1" customWidth="1"/>
    <col min="31" max="31" width="9.109375" style="95" hidden="1" customWidth="1"/>
    <col min="32" max="32" width="13.44140625" style="95" hidden="1" customWidth="1"/>
    <col min="33" max="34" width="9.109375" style="95" hidden="1" customWidth="1"/>
    <col min="35" max="35" width="13.44140625" style="95" hidden="1" customWidth="1"/>
    <col min="36" max="36" width="12" style="95" hidden="1" customWidth="1"/>
    <col min="37" max="37" width="7.33203125" style="95" hidden="1" customWidth="1"/>
    <col min="38" max="38" width="15.33203125" style="95" hidden="1" customWidth="1"/>
    <col min="39" max="39" width="9.109375" style="95" hidden="1" customWidth="1"/>
    <col min="40" max="40" width="15" style="95" hidden="1" customWidth="1"/>
    <col min="41" max="41" width="10.5546875" style="95" hidden="1" customWidth="1"/>
    <col min="42" max="42" width="15.5546875" style="95" hidden="1" customWidth="1"/>
    <col min="43" max="43" width="10.109375" style="95" hidden="1" customWidth="1"/>
    <col min="44" max="44" width="13.44140625" style="95" hidden="1" customWidth="1"/>
    <col min="45" max="45" width="9.109375" style="95" hidden="1" customWidth="1"/>
    <col min="46" max="46" width="7.33203125" style="95" hidden="1" customWidth="1"/>
    <col min="47" max="47" width="16.6640625" style="95" hidden="1" customWidth="1"/>
    <col min="48" max="48" width="16" style="95" hidden="1" customWidth="1"/>
    <col min="49" max="49" width="7.44140625" style="95" hidden="1" customWidth="1"/>
    <col min="50" max="51" width="12.6640625" style="95" hidden="1" customWidth="1"/>
    <col min="52" max="52" width="14.5546875" style="95" hidden="1" customWidth="1"/>
    <col min="53" max="54" width="8.88671875" style="95" hidden="1" customWidth="1"/>
    <col min="55" max="55" width="10.44140625" style="95" hidden="1" customWidth="1"/>
    <col min="56" max="57" width="9.109375" style="95" hidden="1" customWidth="1"/>
    <col min="58" max="16384" width="8" style="95" hidden="1"/>
  </cols>
  <sheetData>
    <row r="1" spans="1:50" ht="25.8" x14ac:dyDescent="0.5">
      <c r="A1" s="7"/>
      <c r="B1" s="14" t="str">
        <f>"Discrete WQ Sample Analysis Tool v. "&amp;dev!B2&amp;"s"</f>
        <v>Discrete WQ Sample Analysis Tool v. 1s</v>
      </c>
      <c r="C1" s="14"/>
      <c r="D1" s="7"/>
      <c r="E1" s="7"/>
      <c r="F1" s="7"/>
      <c r="G1" s="7"/>
      <c r="H1" s="7"/>
      <c r="I1" s="7"/>
    </row>
    <row r="2" spans="1:50" ht="24.9" customHeight="1" x14ac:dyDescent="0.3">
      <c r="A2" s="4"/>
      <c r="B2" s="30" t="s">
        <v>429</v>
      </c>
      <c r="C2" s="30"/>
      <c r="D2" s="4"/>
      <c r="E2" s="26"/>
      <c r="F2" s="26"/>
      <c r="G2" s="4"/>
      <c r="H2" s="4"/>
      <c r="I2" s="4"/>
    </row>
    <row r="3" spans="1:50" ht="15.6" x14ac:dyDescent="0.3">
      <c r="A3" s="4"/>
      <c r="C3" s="25" t="s">
        <v>1</v>
      </c>
      <c r="D3" s="22" t="s">
        <v>2</v>
      </c>
      <c r="E3" s="23" t="s">
        <v>3</v>
      </c>
      <c r="F3" s="24" t="s">
        <v>4</v>
      </c>
      <c r="G3" s="69" t="s">
        <v>5</v>
      </c>
      <c r="H3" s="7"/>
      <c r="I3" s="4"/>
    </row>
    <row r="4" spans="1:50" x14ac:dyDescent="0.3">
      <c r="A4" s="4"/>
      <c r="B4" s="7"/>
      <c r="C4" s="7"/>
      <c r="D4" s="7"/>
      <c r="E4" s="7"/>
      <c r="F4" s="7"/>
      <c r="G4" s="7"/>
      <c r="H4" s="7"/>
      <c r="I4" s="4"/>
    </row>
    <row r="5" spans="1:50" x14ac:dyDescent="0.3">
      <c r="A5" s="4"/>
      <c r="B5" s="7"/>
      <c r="C5" s="7"/>
      <c r="E5" s="8"/>
      <c r="F5" s="2"/>
      <c r="G5" s="8"/>
      <c r="H5" s="7"/>
      <c r="I5" s="4"/>
    </row>
    <row r="6" spans="1:50" x14ac:dyDescent="0.3">
      <c r="A6" s="4"/>
      <c r="B6" s="7"/>
      <c r="C6" s="124" t="s">
        <v>413</v>
      </c>
      <c r="D6" s="90"/>
      <c r="E6" s="124" t="s">
        <v>431</v>
      </c>
      <c r="F6" s="29"/>
      <c r="G6" s="7"/>
      <c r="H6" s="7"/>
      <c r="I6" s="4"/>
    </row>
    <row r="7" spans="1:50" ht="15.6" x14ac:dyDescent="0.3">
      <c r="A7" s="4"/>
      <c r="B7" s="7"/>
      <c r="C7" s="126"/>
      <c r="E7" s="124"/>
      <c r="G7" s="7"/>
      <c r="H7" s="7"/>
      <c r="I7" s="4"/>
      <c r="AF7" s="123"/>
      <c r="AI7" s="96"/>
      <c r="AM7" s="96"/>
      <c r="AT7" s="96"/>
      <c r="AX7" s="96"/>
    </row>
    <row r="8" spans="1:50" x14ac:dyDescent="0.3">
      <c r="A8" s="4"/>
      <c r="B8" s="7"/>
      <c r="C8" s="37" t="s">
        <v>404</v>
      </c>
      <c r="D8" s="29"/>
      <c r="E8" s="124" t="s">
        <v>6</v>
      </c>
      <c r="F8" s="29"/>
      <c r="G8" s="7"/>
      <c r="H8" s="7"/>
      <c r="I8" s="4"/>
    </row>
    <row r="9" spans="1:50" x14ac:dyDescent="0.3">
      <c r="A9" s="4"/>
      <c r="B9" s="7"/>
      <c r="C9" s="126"/>
      <c r="E9" s="124"/>
      <c r="G9" s="7"/>
      <c r="H9" s="7"/>
      <c r="I9" s="4"/>
      <c r="AJ9" s="97"/>
      <c r="AK9" s="98"/>
      <c r="AL9" s="98"/>
      <c r="AP9" s="99"/>
      <c r="AU9" s="97"/>
      <c r="AV9" s="98"/>
      <c r="AW9" s="98"/>
    </row>
    <row r="10" spans="1:50" x14ac:dyDescent="0.3">
      <c r="A10" s="4"/>
      <c r="B10" s="7"/>
      <c r="C10" s="37" t="s">
        <v>8</v>
      </c>
      <c r="D10" s="29"/>
      <c r="E10" s="37" t="s">
        <v>408</v>
      </c>
      <c r="F10" s="29"/>
      <c r="G10" s="7"/>
      <c r="H10" s="7"/>
      <c r="I10" s="4"/>
      <c r="AJ10" s="97"/>
      <c r="AK10" s="98"/>
      <c r="AL10" s="98"/>
      <c r="AP10" s="99"/>
      <c r="AU10" s="97"/>
      <c r="AV10" s="98"/>
      <c r="AW10" s="98"/>
    </row>
    <row r="11" spans="1:50" x14ac:dyDescent="0.3">
      <c r="A11" s="4"/>
      <c r="B11" s="7"/>
      <c r="C11" s="126"/>
      <c r="E11" s="124"/>
      <c r="G11" s="7"/>
      <c r="H11" s="7"/>
      <c r="I11" s="4"/>
      <c r="AJ11" s="97"/>
      <c r="AK11" s="98"/>
      <c r="AL11" s="98"/>
      <c r="AP11" s="99"/>
      <c r="AU11" s="97"/>
      <c r="AV11" s="98"/>
      <c r="AW11" s="98"/>
    </row>
    <row r="12" spans="1:50" x14ac:dyDescent="0.3">
      <c r="A12" s="4"/>
      <c r="B12" s="7"/>
      <c r="C12" s="37" t="s">
        <v>410</v>
      </c>
      <c r="D12" s="29"/>
      <c r="E12" s="37" t="s">
        <v>9</v>
      </c>
      <c r="F12" s="29"/>
      <c r="G12" s="7"/>
      <c r="H12" s="7"/>
      <c r="I12" s="4"/>
      <c r="O12" s="100" t="s">
        <v>395</v>
      </c>
      <c r="P12" s="101"/>
      <c r="Q12" s="101"/>
      <c r="AJ12" s="97"/>
      <c r="AK12" s="98"/>
      <c r="AL12" s="98"/>
      <c r="AU12" s="97"/>
      <c r="AV12" s="98"/>
      <c r="AW12" s="98"/>
    </row>
    <row r="13" spans="1:50" x14ac:dyDescent="0.3">
      <c r="A13" s="4"/>
      <c r="B13" s="7"/>
      <c r="C13" s="9"/>
      <c r="D13" s="7"/>
      <c r="E13" s="15"/>
      <c r="G13" s="7"/>
      <c r="H13" s="7"/>
      <c r="I13" s="4"/>
      <c r="O13" s="95" t="s">
        <v>396</v>
      </c>
      <c r="P13" s="95">
        <f>IF(AND(D6&lt;&gt;"",D8&lt;&gt;"",D10&lt;&gt;"",D12&lt;&gt;"",F6&lt;&gt;"",F8&lt;&gt;"",F10&lt;&gt;"",F12&lt;&gt;"",C14&lt;&gt;"",MAX(n_samp)&gt;=min_cnt),1,0)</f>
        <v>0</v>
      </c>
      <c r="AJ13" s="97"/>
      <c r="AK13" s="98"/>
      <c r="AL13" s="98"/>
      <c r="AU13" s="97"/>
      <c r="AV13" s="98"/>
      <c r="AW13" s="98"/>
    </row>
    <row r="14" spans="1:50" x14ac:dyDescent="0.3">
      <c r="A14" s="4"/>
      <c r="B14" s="9" t="s">
        <v>12</v>
      </c>
      <c r="C14" s="173"/>
      <c r="D14" s="174"/>
      <c r="E14" s="174"/>
      <c r="F14" s="174"/>
      <c r="G14" s="175"/>
      <c r="H14" s="7"/>
      <c r="I14" s="4"/>
      <c r="O14" s="95" t="s">
        <v>398</v>
      </c>
      <c r="P14" s="95">
        <v>5</v>
      </c>
      <c r="AJ14" s="97"/>
      <c r="AK14" s="98"/>
      <c r="AL14" s="98"/>
      <c r="AU14" s="97"/>
      <c r="AV14" s="98"/>
      <c r="AW14" s="98"/>
    </row>
    <row r="15" spans="1:50" x14ac:dyDescent="0.3">
      <c r="A15" s="4"/>
      <c r="B15" s="7"/>
      <c r="C15" s="176"/>
      <c r="D15" s="177"/>
      <c r="E15" s="177"/>
      <c r="F15" s="177"/>
      <c r="G15" s="178"/>
      <c r="H15" s="7"/>
      <c r="I15" s="4"/>
      <c r="O15" s="95" t="s">
        <v>397</v>
      </c>
      <c r="P15" s="95" t="s">
        <v>394</v>
      </c>
      <c r="AJ15" s="97"/>
      <c r="AK15" s="98"/>
      <c r="AL15" s="98"/>
      <c r="AU15" s="97"/>
      <c r="AV15" s="98"/>
      <c r="AW15" s="98"/>
    </row>
    <row r="16" spans="1:50" x14ac:dyDescent="0.3">
      <c r="A16" s="4"/>
      <c r="B16" s="7"/>
      <c r="C16" s="176"/>
      <c r="D16" s="177"/>
      <c r="E16" s="177"/>
      <c r="F16" s="177"/>
      <c r="G16" s="178"/>
      <c r="H16" s="7"/>
      <c r="I16" s="4"/>
      <c r="AJ16" s="97"/>
      <c r="AK16" s="98"/>
      <c r="AL16" s="98"/>
      <c r="AU16" s="97"/>
      <c r="AV16" s="98"/>
      <c r="AW16" s="98"/>
    </row>
    <row r="17" spans="1:55" x14ac:dyDescent="0.3">
      <c r="A17" s="4"/>
      <c r="B17" s="7"/>
      <c r="C17" s="179"/>
      <c r="D17" s="180"/>
      <c r="E17" s="180"/>
      <c r="F17" s="180"/>
      <c r="G17" s="181"/>
      <c r="H17" s="7"/>
      <c r="I17" s="4"/>
      <c r="AJ17" s="97"/>
      <c r="AK17" s="98"/>
      <c r="AL17" s="98"/>
      <c r="AU17" s="97"/>
      <c r="AV17" s="98"/>
      <c r="AW17" s="98"/>
    </row>
    <row r="18" spans="1:55" x14ac:dyDescent="0.3">
      <c r="A18" s="4"/>
      <c r="B18" s="7"/>
      <c r="C18" s="7"/>
      <c r="D18" s="7"/>
      <c r="E18" s="7"/>
      <c r="F18" s="7"/>
      <c r="G18" s="7"/>
      <c r="H18" s="7"/>
      <c r="I18" s="4"/>
      <c r="O18" s="102" t="s">
        <v>17</v>
      </c>
      <c r="P18" s="101"/>
      <c r="Q18" s="101"/>
      <c r="R18" s="103"/>
      <c r="S18" s="104"/>
      <c r="T18" s="104"/>
      <c r="U18" s="104"/>
      <c r="V18" s="104"/>
      <c r="W18" s="104"/>
      <c r="X18" s="104"/>
      <c r="Y18" s="104"/>
      <c r="Z18" s="104"/>
      <c r="AA18" s="104"/>
      <c r="AC18" s="105" t="s">
        <v>18</v>
      </c>
      <c r="AD18" s="106"/>
      <c r="AF18" s="105" t="s">
        <v>19</v>
      </c>
      <c r="AG18" s="106"/>
      <c r="AI18" s="105" t="s">
        <v>20</v>
      </c>
      <c r="AJ18" s="107"/>
      <c r="AK18" s="98"/>
      <c r="AL18" s="108" t="s">
        <v>21</v>
      </c>
      <c r="AM18" s="106"/>
      <c r="AN18" s="106"/>
      <c r="AO18" s="106"/>
      <c r="AP18" s="106"/>
      <c r="AR18" s="105" t="s">
        <v>22</v>
      </c>
      <c r="AS18" s="106"/>
      <c r="AT18" s="106"/>
      <c r="AU18" s="107"/>
      <c r="AV18" s="109"/>
      <c r="AW18" s="98"/>
    </row>
    <row r="19" spans="1:55" x14ac:dyDescent="0.3">
      <c r="A19" s="4"/>
      <c r="B19" s="4"/>
      <c r="C19" s="4"/>
      <c r="D19" s="4"/>
      <c r="E19" s="4"/>
      <c r="F19" s="4"/>
      <c r="G19" s="4"/>
      <c r="H19" s="4"/>
      <c r="I19" s="4"/>
      <c r="O19" s="105" t="s">
        <v>23</v>
      </c>
      <c r="P19" s="106"/>
      <c r="Q19" s="101"/>
      <c r="R19" s="101"/>
      <c r="S19" s="106"/>
      <c r="T19" s="106"/>
      <c r="U19" s="106"/>
      <c r="V19" s="105" t="s">
        <v>24</v>
      </c>
      <c r="W19" s="106"/>
      <c r="X19" s="106"/>
      <c r="Y19" s="104"/>
      <c r="Z19" s="104"/>
      <c r="AA19" s="104"/>
      <c r="AC19" s="106"/>
      <c r="AD19" s="106"/>
      <c r="AF19" s="106"/>
      <c r="AG19" s="106"/>
      <c r="AI19" s="106"/>
      <c r="AJ19" s="107"/>
      <c r="AK19" s="98"/>
      <c r="AL19" s="109"/>
      <c r="AM19" s="106"/>
      <c r="AN19" s="106"/>
      <c r="AO19" s="106"/>
      <c r="AP19" s="110"/>
      <c r="AR19" s="110"/>
      <c r="AS19" s="106"/>
      <c r="AT19" s="106"/>
      <c r="AU19" s="107"/>
      <c r="AV19" s="109"/>
      <c r="AW19" s="98"/>
    </row>
    <row r="20" spans="1:55" ht="24.9" customHeight="1" x14ac:dyDescent="0.3">
      <c r="A20" s="5"/>
      <c r="B20" s="31" t="s">
        <v>430</v>
      </c>
      <c r="C20" s="31"/>
      <c r="D20" s="5"/>
      <c r="E20" s="27"/>
      <c r="F20" s="27"/>
      <c r="G20" s="5"/>
      <c r="H20" s="27"/>
      <c r="I20" s="5"/>
      <c r="O20" s="99" t="s">
        <v>25</v>
      </c>
      <c r="P20" s="122" t="e">
        <f>(SUMSQ($O$35:$O$119)-2*(VLOOKUP(CT_cnt,C35:Q119, COLUMN(O35)-2,FALSE))^2-2*(VLOOKUP(CT_cnt-1,C35:Q119, COLUMN(O35)-2,FALSE))^2)/(1-2*(VLOOKUP(CT_cnt,C35:Q119, COLUMN(Q35)-2,FALSE))^2-2*(VLOOKUP(CT_cnt-1,C35:Q119, COLUMN(Q35)-2,FALSE))^2)</f>
        <v>#N/A</v>
      </c>
      <c r="V20" s="99" t="s">
        <v>25</v>
      </c>
      <c r="W20" s="111" t="e">
        <f>(SUMSQ($V$35:$V$119)-2*(VLOOKUP(TX_cnt,C35:V119, COLUMN(V35)-2,FALSE))^2-2*(VLOOKUP(TX_cnt-1,C35:V119, COLUMN(V35)-2,FALSE))^2)/(1-2*(VLOOKUP(TX_cnt,C35:X119, COLUMN(X35)-2,FALSE))^2-2*(VLOOKUP(TX_cnt-1,C35:X119, COLUMN(X35)-2,FALSE))^2)</f>
        <v>#N/A</v>
      </c>
      <c r="AC20" s="95" t="s">
        <v>27</v>
      </c>
      <c r="AD20" s="95">
        <f>SUM(AC35:AC119)</f>
        <v>0</v>
      </c>
      <c r="AF20" s="113" t="s">
        <v>28</v>
      </c>
      <c r="AG20" s="114">
        <f>IFERROR(_xlfn.F.TEST(CT_vals, TX_vals),0)</f>
        <v>0</v>
      </c>
      <c r="AH20" s="115"/>
      <c r="AI20" s="95" t="s">
        <v>28</v>
      </c>
      <c r="AJ20" s="97" t="e" cm="1">
        <f t="array" ref="AJ20">IF(C26="NOT NORMAL", "NA", _xlfn.IFS(tool!F8=INDEX(comp_tab[Comparison Type], 2),_xlfn.T.TEST(CT_vals,TX_vals,2,1), AND(tool!F8=INDEX(comp_tab[Comparison Type], 1), tool!C27="EQUAL VARIANCE"), _xlfn.T.TEST(CT_vals, TX_vals, 2,2), AND(tool!F8=INDEX(comp_tab[Comparison Type], 1), tool!C27="UNEQUAL VARIANCE"), _xlfn.T.TEST(CT_vals, TX_vals, 2,3)))</f>
        <v>#N/A</v>
      </c>
      <c r="AK20" s="98"/>
      <c r="AL20" s="95" t="s">
        <v>29</v>
      </c>
      <c r="AM20" s="95">
        <f>cnt</f>
        <v>0</v>
      </c>
      <c r="AO20" s="98" t="s">
        <v>30</v>
      </c>
      <c r="AP20" s="99" t="e">
        <f>ABS(AM23-AM24)/AM26</f>
        <v>#DIV/0!</v>
      </c>
      <c r="AR20" s="95" t="s">
        <v>31</v>
      </c>
      <c r="AS20" s="95">
        <f>COUNT(J35:K119)-COUNT(J35:K35)</f>
        <v>0</v>
      </c>
      <c r="AU20" s="95" t="s">
        <v>32</v>
      </c>
      <c r="AV20" s="95" t="e">
        <f>SQRT(FINV(F12,1,AS20))</f>
        <v>#NUM!</v>
      </c>
      <c r="AW20" s="98"/>
    </row>
    <row r="21" spans="1:55" x14ac:dyDescent="0.3">
      <c r="A21" s="5"/>
      <c r="B21" s="7"/>
      <c r="C21" s="8" t="s">
        <v>13</v>
      </c>
      <c r="D21" s="8" t="s">
        <v>14</v>
      </c>
      <c r="E21" s="8" t="s">
        <v>15</v>
      </c>
      <c r="F21" s="8" t="s">
        <v>16</v>
      </c>
      <c r="G21" s="7"/>
      <c r="H21" s="7"/>
      <c r="I21" s="5"/>
      <c r="O21" s="116" t="s">
        <v>33</v>
      </c>
      <c r="P21" s="112" t="str">
        <f>IFERROR(EXP(0.0030302*(LN(cnt))^2-0.082676*(LN(cnt))-0.4803),"")</f>
        <v/>
      </c>
      <c r="V21" s="116" t="s">
        <v>33</v>
      </c>
      <c r="W21" s="112" t="str">
        <f>IFERROR(EXP(0.0030302*(LN(cnt))^2-0.082676*(LN(cnt))-0.4803),"")</f>
        <v/>
      </c>
      <c r="AC21" s="95" t="s">
        <v>35</v>
      </c>
      <c r="AD21" s="95">
        <f>SUM(AD35:AD119)</f>
        <v>0</v>
      </c>
      <c r="AK21" s="98"/>
      <c r="AL21" s="95" t="s">
        <v>36</v>
      </c>
      <c r="AM21" s="95">
        <f>SUM(AO35:AO119)</f>
        <v>0</v>
      </c>
      <c r="AO21" s="98" t="s">
        <v>28</v>
      </c>
      <c r="AP21" s="99" t="e">
        <f>2*(1-_xlfn.NORM.S.DIST(AP20,TRUE))</f>
        <v>#DIV/0!</v>
      </c>
      <c r="AR21" s="95" t="s">
        <v>37</v>
      </c>
      <c r="AS21" s="95" t="e">
        <f>SUM(DEVSQ(CT_vals), DEVSQ(TX_vals))</f>
        <v>#NUM!</v>
      </c>
      <c r="AU21" s="117" t="s">
        <v>38</v>
      </c>
      <c r="AV21" s="98" t="str">
        <f>IF(cnt=0, "", AV20*SQRT(AS22*(1/AS23 + 1/AS24)))</f>
        <v/>
      </c>
      <c r="AW21" s="98"/>
    </row>
    <row r="22" spans="1:55" x14ac:dyDescent="0.3">
      <c r="A22" s="5"/>
      <c r="B22" s="124" t="s">
        <v>23</v>
      </c>
      <c r="C22" s="92" t="str">
        <f>IF(cnt&gt;=min_cnt,AVERAGE(CT_vals),"")</f>
        <v/>
      </c>
      <c r="D22" s="93" t="str">
        <f>IF(cnt&gt;=min_cnt,_xlfn.VAR.P(CT_vals),"")</f>
        <v/>
      </c>
      <c r="E22" s="93" t="str">
        <f>IF(cnt&gt;=min_cnt,MEDIAN(CT_vals),"")</f>
        <v/>
      </c>
      <c r="F22" s="93" t="str">
        <f>IF(cnt&gt;=min_cnt,QUARTILE(CT_vals,3)-QUARTILE(CT_vals,1),"")</f>
        <v/>
      </c>
      <c r="G22" s="7"/>
      <c r="H22" s="7"/>
      <c r="I22" s="5"/>
      <c r="O22" s="96" t="s">
        <v>26</v>
      </c>
      <c r="P22" s="112">
        <f>P30^2</f>
        <v>0</v>
      </c>
      <c r="V22" s="95" t="s">
        <v>26</v>
      </c>
      <c r="W22" s="96">
        <f>W30^2</f>
        <v>0</v>
      </c>
      <c r="AC22" s="95" t="s">
        <v>41</v>
      </c>
      <c r="AD22" s="95">
        <f>cnt*cnt+cnt*(cnt+1)/2-AD20</f>
        <v>0</v>
      </c>
      <c r="AJ22" s="97"/>
      <c r="AK22" s="98"/>
      <c r="AL22" s="95" t="s">
        <v>42</v>
      </c>
      <c r="AM22" s="95">
        <f>SUM(AP35:AP119)</f>
        <v>0</v>
      </c>
      <c r="AP22" s="99"/>
      <c r="AQ22" s="111"/>
      <c r="AR22" s="95" t="s">
        <v>43</v>
      </c>
      <c r="AS22" s="95" t="e">
        <f>AS21/AS20</f>
        <v>#NUM!</v>
      </c>
      <c r="AU22" s="97"/>
      <c r="AV22" s="98"/>
      <c r="AW22" s="98"/>
    </row>
    <row r="23" spans="1:55" x14ac:dyDescent="0.3">
      <c r="A23" s="5"/>
      <c r="B23" s="124" t="s">
        <v>24</v>
      </c>
      <c r="C23" s="92" t="str">
        <f>IF(cnt&gt;=min_cnt,AVERAGE(TX_vals),"")</f>
        <v/>
      </c>
      <c r="D23" s="93" t="str">
        <f>IF(cnt&gt;=min_cnt,_xlfn.VAR.P(TX_vals),"")</f>
        <v/>
      </c>
      <c r="E23" s="93" t="str">
        <f>IF(cnt&gt;=min_cnt,MEDIAN(TX_vals),"")</f>
        <v/>
      </c>
      <c r="F23" s="93" t="str">
        <f>IF(cnt&gt;=min_cnt,QUARTILE(TX_vals,3)-QUARTILE(TX_vals,1),"")</f>
        <v/>
      </c>
      <c r="G23" s="7"/>
      <c r="H23" s="7"/>
      <c r="I23" s="5"/>
      <c r="O23" s="96" t="s">
        <v>34</v>
      </c>
      <c r="P23" s="112">
        <f>P26</f>
        <v>0</v>
      </c>
      <c r="V23" s="95" t="s">
        <v>34</v>
      </c>
      <c r="W23" s="96">
        <f>W26</f>
        <v>0</v>
      </c>
      <c r="AC23" s="95" t="s">
        <v>46</v>
      </c>
      <c r="AD23" s="95">
        <f>cnt*cnt+cnt*(cnt+1)/2-AD21</f>
        <v>0</v>
      </c>
      <c r="AJ23" s="97"/>
      <c r="AK23" s="98"/>
      <c r="AL23" s="98" t="s">
        <v>47</v>
      </c>
      <c r="AM23" s="95">
        <f>MIN(AM21:AM22)</f>
        <v>0</v>
      </c>
      <c r="AR23" s="95" t="s">
        <v>48</v>
      </c>
      <c r="AS23" s="95">
        <f>COUNT(CT_vals)</f>
        <v>0</v>
      </c>
      <c r="AU23" s="97"/>
      <c r="AV23" s="98"/>
      <c r="AW23" s="98"/>
    </row>
    <row r="24" spans="1:55" x14ac:dyDescent="0.3">
      <c r="A24" s="5"/>
      <c r="B24" s="8"/>
      <c r="C24" s="15"/>
      <c r="D24" s="15"/>
      <c r="E24" s="15"/>
      <c r="F24" s="15"/>
      <c r="G24" s="7"/>
      <c r="H24" s="7"/>
      <c r="I24" s="5"/>
      <c r="O24" s="96" t="s">
        <v>40</v>
      </c>
      <c r="P24" s="112" t="e">
        <f>P22/P23</f>
        <v>#DIV/0!</v>
      </c>
      <c r="V24" s="95" t="s">
        <v>40</v>
      </c>
      <c r="W24" s="96" t="e">
        <f>W22/W23</f>
        <v>#DIV/0!</v>
      </c>
      <c r="AC24" s="95" t="s">
        <v>50</v>
      </c>
      <c r="AD24" s="95">
        <f>MIN(AD22:AD23)</f>
        <v>0</v>
      </c>
      <c r="AJ24" s="97"/>
      <c r="AK24" s="98"/>
      <c r="AL24" s="98" t="s">
        <v>51</v>
      </c>
      <c r="AM24" s="95">
        <f>AM20*(AM20+1)/4</f>
        <v>0</v>
      </c>
      <c r="AR24" s="95" t="s">
        <v>52</v>
      </c>
      <c r="AS24" s="95">
        <f>COUNT(TX_vals)</f>
        <v>0</v>
      </c>
      <c r="AU24" s="97"/>
      <c r="AV24" s="98"/>
      <c r="AW24" s="98"/>
    </row>
    <row r="25" spans="1:55" x14ac:dyDescent="0.3">
      <c r="A25" s="5"/>
      <c r="B25" s="124" t="s">
        <v>39</v>
      </c>
      <c r="C25" s="10">
        <f>MAX(C35:C120)</f>
        <v>0</v>
      </c>
      <c r="D25" s="7"/>
      <c r="E25" s="125" t="s">
        <v>432</v>
      </c>
      <c r="F25" s="7"/>
      <c r="G25" s="7"/>
      <c r="H25" s="7"/>
      <c r="I25" s="5"/>
      <c r="O25" s="96" t="s">
        <v>45</v>
      </c>
      <c r="P25" s="112" t="e">
        <f>LN(1-P24)</f>
        <v>#DIV/0!</v>
      </c>
      <c r="V25" s="95" t="s">
        <v>45</v>
      </c>
      <c r="W25" s="96" t="e">
        <f>LN(1-W24)</f>
        <v>#DIV/0!</v>
      </c>
      <c r="AC25" s="95" t="s">
        <v>54</v>
      </c>
      <c r="AD25" s="95" t="e">
        <f>(AD24-cnt*cnt/2)/SQRT(cnt*cnt*(cnt+cnt+1)/12)</f>
        <v>#DIV/0!</v>
      </c>
      <c r="AJ25" s="97"/>
      <c r="AK25" s="98"/>
      <c r="AL25" s="98" t="s">
        <v>55</v>
      </c>
      <c r="AM25" s="95">
        <f>AM24*(2*AM20+1)/6</f>
        <v>0</v>
      </c>
      <c r="AU25" s="97"/>
      <c r="AV25" s="98"/>
      <c r="AW25" s="98"/>
      <c r="BC25" s="118"/>
    </row>
    <row r="26" spans="1:55" ht="15.6" x14ac:dyDescent="0.3">
      <c r="A26" s="5"/>
      <c r="B26" s="124" t="s">
        <v>44</v>
      </c>
      <c r="C26" s="10" t="str">
        <f>IF(calc_test&gt;0, IF(AND($P$29&gt;0.05, $W$29&gt;0.05), "NORMAL", "NOT NORMAL"),"")</f>
        <v/>
      </c>
      <c r="D26" s="20"/>
      <c r="E26" s="12" t="str">
        <f>IF(calc_test&gt;0,IF(AND($P$29&lt;&gt;"",$W$29&lt;&gt;""),"Control p-value = "&amp;(ROUND($P$29,2))&amp;", Treatment p-value = "&amp;(ROUND($W$29,2)),""),"")</f>
        <v/>
      </c>
      <c r="F26" s="68"/>
      <c r="G26" s="13"/>
      <c r="H26" s="7"/>
      <c r="I26" s="5"/>
      <c r="O26" s="96" t="s">
        <v>49</v>
      </c>
      <c r="P26" s="112">
        <f>SUM(S35:S1048576)</f>
        <v>0</v>
      </c>
      <c r="V26" s="113" t="s">
        <v>49</v>
      </c>
      <c r="W26" s="97">
        <f>SUM(Z35:Z119)</f>
        <v>0</v>
      </c>
      <c r="AC26" s="95" t="s">
        <v>28</v>
      </c>
      <c r="AD26" s="95" t="e">
        <f>_xlfn.NORM.DIST(AD25,0,1,TRUE)*2</f>
        <v>#DIV/0!</v>
      </c>
      <c r="AJ26" s="97"/>
      <c r="AK26" s="98"/>
      <c r="AL26" s="98" t="s">
        <v>56</v>
      </c>
      <c r="AM26" s="95">
        <f>SQRT(AM25)</f>
        <v>0</v>
      </c>
      <c r="AU26" s="97"/>
      <c r="AV26" s="98"/>
      <c r="AW26" s="98"/>
      <c r="BC26" s="118"/>
    </row>
    <row r="27" spans="1:55" ht="15.6" x14ac:dyDescent="0.3">
      <c r="A27" s="5"/>
      <c r="B27" s="124" t="s">
        <v>14</v>
      </c>
      <c r="C27" s="10" t="str">
        <f>IF(calc_test&gt;0,IF(AG20&gt;0.05, "EQUAL VARIANCE", "UNEQUAL VARIANCE"),"")</f>
        <v/>
      </c>
      <c r="D27" s="20"/>
      <c r="E27" s="12" t="str">
        <f>IF(calc_test&gt;0,IF(AG20&gt;0.05, "Variances do not differ at p-value = "&amp;ROUND($AG$20, 3),"Variances differ at p-value = "&amp;ROUND($AG$20, 3)),"")</f>
        <v/>
      </c>
      <c r="F27" s="68"/>
      <c r="G27" s="13"/>
      <c r="H27" s="7"/>
      <c r="I27" s="5"/>
      <c r="O27" s="119" t="s">
        <v>53</v>
      </c>
      <c r="P27" s="112" t="e">
        <f>0.0038915*(LN(cnt))^3-0.083751*(LN(cnt))^2-0.31082*(LN(cnt))-1.5861</f>
        <v>#NUM!</v>
      </c>
      <c r="V27" s="99" t="s">
        <v>53</v>
      </c>
      <c r="W27" s="96" t="e">
        <f>0.0038915*(LN(cnt))^3-0.083751*(LN(cnt))^2-0.31082*(LN(cnt))-1.5861</f>
        <v>#NUM!</v>
      </c>
      <c r="AJ27" s="97"/>
      <c r="AK27" s="98"/>
      <c r="AL27" s="98"/>
      <c r="AU27" s="97"/>
      <c r="AV27" s="98"/>
      <c r="AW27" s="98"/>
    </row>
    <row r="28" spans="1:55" ht="15.6" x14ac:dyDescent="0.3">
      <c r="A28" s="5"/>
      <c r="B28" s="124" t="s">
        <v>20</v>
      </c>
      <c r="C28" s="10" t="str">
        <f>IF(calc_test&gt;0,IF(C26="NOT NORMAL", "NA", IF(AJ20&gt;$F$10, "NOT SIGNIFICANT", "SIGNIFICANT")),"")</f>
        <v/>
      </c>
      <c r="D28" s="20"/>
      <c r="E28" s="65" t="str" cm="1">
        <f t="array" ref="E28">IF(calc_test&gt;0,_xlfn.IFS($C$28="SIGNIFICANT", $D$12&amp;" "&amp;E12&amp;" is different at p-value = "&amp;(ROUND(AJ20, 3)), $C$28="NOT SIGNIFICANT", $D$12&amp;" "&amp;E12&amp;" is not different at p-value = "&amp;(ROUND(AJ20,3)), $C$28="NA", "NA: See test result below"),"")</f>
        <v/>
      </c>
      <c r="F28" s="66"/>
      <c r="G28" s="67"/>
      <c r="H28" s="7"/>
      <c r="I28" s="5"/>
      <c r="O28" s="119" t="s">
        <v>54</v>
      </c>
      <c r="P28" s="112" t="e">
        <f>(P25-P27)/P21</f>
        <v>#DIV/0!</v>
      </c>
      <c r="V28" s="99" t="s">
        <v>54</v>
      </c>
      <c r="W28" s="96" t="e">
        <f>(W25-W27)/P21</f>
        <v>#DIV/0!</v>
      </c>
      <c r="AJ28" s="97"/>
      <c r="AK28" s="98"/>
      <c r="AL28" s="98"/>
      <c r="AU28" s="97"/>
      <c r="AV28" s="98"/>
      <c r="AW28" s="98"/>
    </row>
    <row r="29" spans="1:55" ht="15.6" x14ac:dyDescent="0.3">
      <c r="A29" s="5"/>
      <c r="B29" s="124" t="str">
        <f>IF(tool!F6="", "Non-Parametric", IF(F6=INDEX(comp_tab[Comparison Type],1), "Mann-Whitney U", "Wilcoxon Signed-Rank"))</f>
        <v>Non-Parametric</v>
      </c>
      <c r="C29" s="10" t="str" cm="1">
        <f t="array" ref="C29">IF(calc_test&gt;0,IF($F$10="", "", _xlfn.IFS($C$26="NORMAL", "NA", $F$6= INDEX(comp_tab[Comparison Type],1), IF($AD$26&gt;$F$10, "NOT SIGNIFICANT", "SIGNIFICANT"), $F$6 = INDEX(comp_tab[Comparison Type], 2), IF(tool!$AP$21&gt;$F$10, "NOT SIGNIFICANT", "SIGNIFICANT"))),"")</f>
        <v/>
      </c>
      <c r="D29" s="20"/>
      <c r="E29" s="12" t="str" cm="1">
        <f t="array" ref="E29">IF(calc_test&gt;0,_xlfn.IFS(AND($C$29="SIGNIFICANT", F6=INDEX(comp_tab[Comparison Type],1)),$D$12&amp;" is different at p-value = "&amp;(ROUND(tool!$AD$26, 3)), AND($C$29="SIGNIFICANT", $F$6=INDEX(comp_tab[Comparison Type],2)),$D$12&amp;" is different at p-value = "&amp;(ROUND(tool!$AP$21, 3)), AND($C$29="NOT SIGNIFICANT", $F$6=INDEX(comp_tab[Comparison Type],1)), $D$12&amp;" is not different at p-value = "&amp;(ROUND(tool!$AD$26,3)), AND($C$29="NOT SIGNIFICANT", $F$6=INDEX(comp_tab[Comparison Type],2)), $D$12&amp;" is not different at p-value = "&amp;(ROUND(tool!$AP$21,3)), $C$29="NA", "NA: See T-Test Result", tool!$F$6="", ""),"")</f>
        <v/>
      </c>
      <c r="F29" s="68"/>
      <c r="G29" s="13"/>
      <c r="H29" s="7"/>
      <c r="I29" s="5"/>
      <c r="O29" s="119" t="s">
        <v>28</v>
      </c>
      <c r="P29" s="96" t="e">
        <f>(1-_xlfn.NORM.S.DIST(P28,TRUE))</f>
        <v>#DIV/0!</v>
      </c>
      <c r="V29" s="99" t="s">
        <v>28</v>
      </c>
      <c r="W29" s="120" t="str">
        <f>IFERROR(1-_xlfn.NORM.S.DIST(W28,TRUE),"")</f>
        <v/>
      </c>
      <c r="AJ29" s="97"/>
      <c r="AK29" s="98"/>
      <c r="AU29" s="97"/>
      <c r="AV29" s="98"/>
      <c r="AW29" s="98"/>
    </row>
    <row r="30" spans="1:55" ht="15.6" x14ac:dyDescent="0.3">
      <c r="A30" s="5"/>
      <c r="B30" s="124" t="s">
        <v>57</v>
      </c>
      <c r="C30" s="16" t="str">
        <f>IF(calc_test&gt;0,AV21,"")</f>
        <v/>
      </c>
      <c r="D30" s="20"/>
      <c r="E30" s="65" t="str">
        <f>IF(C30="", "", "Least significant difference between values is "&amp;ROUND(C30, 3))</f>
        <v/>
      </c>
      <c r="F30" s="66"/>
      <c r="G30" s="67"/>
      <c r="H30" s="7"/>
      <c r="I30" s="5"/>
      <c r="J30" s="169" t="s">
        <v>59</v>
      </c>
      <c r="O30" s="96" t="s">
        <v>58</v>
      </c>
      <c r="P30" s="112">
        <f>SUM(T35:T135)</f>
        <v>0</v>
      </c>
      <c r="V30" s="96" t="s">
        <v>58</v>
      </c>
      <c r="W30" s="96">
        <f>SUM(AA35:AA119)</f>
        <v>0</v>
      </c>
      <c r="AW30" s="98"/>
    </row>
    <row r="31" spans="1:55" ht="15.6" x14ac:dyDescent="0.3">
      <c r="A31" s="5"/>
      <c r="B31" s="20"/>
      <c r="C31" s="20"/>
      <c r="D31" s="20"/>
      <c r="E31" s="20"/>
      <c r="F31" s="20"/>
      <c r="G31" s="20"/>
      <c r="H31" s="20"/>
      <c r="I31" s="5"/>
      <c r="AW31" s="98"/>
    </row>
    <row r="32" spans="1:55" x14ac:dyDescent="0.3">
      <c r="A32" s="5"/>
      <c r="B32" s="5"/>
      <c r="C32" s="5"/>
      <c r="D32" s="5"/>
      <c r="E32" s="5"/>
      <c r="F32" s="5"/>
      <c r="G32" s="5"/>
      <c r="H32" s="5"/>
      <c r="I32" s="5"/>
      <c r="J32" s="168" t="s">
        <v>405</v>
      </c>
      <c r="K32" s="168" t="s">
        <v>406</v>
      </c>
      <c r="O32" s="95" t="e">
        <f>VLOOKUP(cnt,C35:Q119, COLUMN(O35)-2,FALSE)</f>
        <v>#N/A</v>
      </c>
      <c r="AW32" s="98"/>
    </row>
    <row r="33" spans="1:49" ht="24.9" customHeight="1" x14ac:dyDescent="0.3">
      <c r="A33" s="4"/>
      <c r="B33" s="32" t="str">
        <f>"Sample Data Entry: Enter sample dates and values below (min = "&amp;min_cnt&amp;")"</f>
        <v>Sample Data Entry: Enter sample dates and values below (min = 5)</v>
      </c>
      <c r="C33" s="32"/>
      <c r="D33" s="32"/>
      <c r="E33" s="28"/>
      <c r="F33" s="4"/>
      <c r="G33" s="4"/>
      <c r="H33" s="4"/>
      <c r="I33" s="4"/>
      <c r="J33" s="168">
        <f>COUNT(CT_vals)</f>
        <v>0</v>
      </c>
      <c r="K33" s="168">
        <f>COUNT(TX_vals)</f>
        <v>0</v>
      </c>
      <c r="L33" s="168">
        <f>ROW(K34)+cnt</f>
        <v>34</v>
      </c>
      <c r="N33" s="73"/>
      <c r="AK33" s="97"/>
      <c r="AU33" s="97"/>
      <c r="AV33" s="98"/>
      <c r="AW33" s="98"/>
    </row>
    <row r="34" spans="1:49" ht="28.5" customHeight="1" x14ac:dyDescent="0.3">
      <c r="A34" s="4"/>
      <c r="B34" s="4"/>
      <c r="C34" s="127" t="s">
        <v>60</v>
      </c>
      <c r="D34" s="127" t="s">
        <v>61</v>
      </c>
      <c r="E34" s="128" t="s">
        <v>425</v>
      </c>
      <c r="F34" s="128" t="s">
        <v>426</v>
      </c>
      <c r="G34" s="129" t="s">
        <v>3</v>
      </c>
      <c r="H34" s="4"/>
      <c r="I34" s="4"/>
      <c r="J34" s="168" t="s">
        <v>62</v>
      </c>
      <c r="K34" s="168" t="s">
        <v>63</v>
      </c>
      <c r="L34" s="168" t="s">
        <v>399</v>
      </c>
      <c r="M34" s="168" t="s">
        <v>400</v>
      </c>
      <c r="O34" s="95" t="s">
        <v>64</v>
      </c>
      <c r="P34" s="95" t="s">
        <v>65</v>
      </c>
      <c r="Q34" s="99" t="s">
        <v>66</v>
      </c>
      <c r="R34" s="95" t="s">
        <v>67</v>
      </c>
      <c r="S34" s="95" t="s">
        <v>68</v>
      </c>
      <c r="T34" s="99" t="s">
        <v>69</v>
      </c>
      <c r="U34" s="99"/>
      <c r="V34" s="95" t="s">
        <v>64</v>
      </c>
      <c r="W34" s="95" t="s">
        <v>65</v>
      </c>
      <c r="X34" s="99" t="s">
        <v>66</v>
      </c>
      <c r="Y34" s="95" t="s">
        <v>67</v>
      </c>
      <c r="Z34" s="95" t="s">
        <v>68</v>
      </c>
      <c r="AA34" s="99" t="s">
        <v>69</v>
      </c>
      <c r="AC34" s="95" t="s">
        <v>70</v>
      </c>
      <c r="AD34" s="95" t="s">
        <v>71</v>
      </c>
      <c r="AI34" s="97"/>
      <c r="AL34" s="95" t="s">
        <v>72</v>
      </c>
      <c r="AM34" s="95" t="s">
        <v>73</v>
      </c>
      <c r="AN34" s="95" t="s">
        <v>74</v>
      </c>
      <c r="AO34" s="95" t="s">
        <v>75</v>
      </c>
      <c r="AP34" s="95" t="s">
        <v>76</v>
      </c>
      <c r="AT34" s="97"/>
      <c r="AU34" s="98"/>
      <c r="AV34" s="98"/>
    </row>
    <row r="35" spans="1:49" x14ac:dyDescent="0.3">
      <c r="A35" s="4"/>
      <c r="B35" s="4"/>
      <c r="C35" s="11" t="str">
        <f>IF(G35&lt;&gt;"",IF(ISTEXT(C34),1,C34+1),"")</f>
        <v/>
      </c>
      <c r="D35" s="17"/>
      <c r="E35" s="63"/>
      <c r="F35" s="63"/>
      <c r="G35" s="10" t="str">
        <f>IF(OR(AND(D35&lt;&gt;"",E35&lt;&gt;"", F35&lt;&gt;"")),"X","")</f>
        <v/>
      </c>
      <c r="H35" s="4"/>
      <c r="I35" s="4"/>
      <c r="J35" s="170" t="str">
        <f t="shared" ref="J35:J66" si="0">IF(AND(D35&lt;&gt;"",E35&lt;&gt;""),E35,"")</f>
        <v/>
      </c>
      <c r="K35" s="170" t="str">
        <f>IF(AND(D35&lt;&gt;"",F35&lt;&gt;""),F35,"")</f>
        <v/>
      </c>
      <c r="L35" s="168" t="e">
        <f>IF(J35&lt;&gt;"",J35,NA())</f>
        <v>#N/A</v>
      </c>
      <c r="M35" s="168" t="e">
        <f>IF(K35&lt;&gt;"",K35,NA())</f>
        <v>#N/A</v>
      </c>
      <c r="O35" s="98" t="str">
        <f t="shared" ref="O35:O66" si="1">IF($J35&lt;&gt;"", _xlfn.NORM.S.INV(($C35-0.375)/(CT_cnt+0.25)), "")</f>
        <v/>
      </c>
      <c r="P35" s="98" t="str">
        <f>IF($J35&lt;&gt;"", (SUMSQ($O$35:$O$119))^(-0.5)*O35, "")</f>
        <v/>
      </c>
      <c r="Q35" s="95" t="str">
        <f>IFERROR(-(VLOOKUP(CT_cnt, $C$37:$Q$119,15,FALSE)),"")</f>
        <v/>
      </c>
      <c r="R35" s="95" t="str" cm="1">
        <f t="array" ref="R35:R119">IF(CT_vals&lt;&gt;"", _xlfn._xlws.SORT(CT_vals), "")</f>
        <v/>
      </c>
      <c r="S35" s="97" t="str">
        <f t="shared" ref="S35:S66" si="2">IF($J35&lt;&gt;"",($R35-AVERAGE(CT_sort))^2, "")</f>
        <v/>
      </c>
      <c r="T35" s="95" t="str">
        <f>IF($J35="", "", $Q35*$R35)</f>
        <v/>
      </c>
      <c r="V35" s="98" t="str">
        <f t="shared" ref="V35:V66" si="3">IF($K35&lt;&gt;"", _xlfn.NORM.S.INV(($C35-0.375)/(TX_cnt+0.25)), "")</f>
        <v/>
      </c>
      <c r="W35" s="98" t="str">
        <f>IF($K35&lt;&gt;"", (SUMSQ($V$35:$V$119))^(-0.5)*$V35, "")</f>
        <v/>
      </c>
      <c r="X35" s="95" t="str">
        <f>IFERROR(-(VLOOKUP(TX_cnt, $C$37:$X$119,COLUMN(X35)-2,FALSE)),"")</f>
        <v/>
      </c>
      <c r="Y35" s="95" t="str" cm="1">
        <f t="array" ref="Y35:Y119">IF(TX_vals&lt;&gt;"", _xlfn._xlws.SORT(TX_vals), "")</f>
        <v/>
      </c>
      <c r="Z35" s="95" t="str">
        <f t="shared" ref="Z35:Z66" si="4">IF($K35&lt;&gt;"",($K35-AVERAGE(TX_sort))^2, "")</f>
        <v/>
      </c>
      <c r="AA35" s="95" t="str">
        <f>IF($K35&lt;&gt;"",X35*Y35,"")</f>
        <v/>
      </c>
      <c r="AC35" s="95" t="str">
        <f>IF(J35="", "", _xlfn.RANK.EQ(J35,$J$35:$K$119,1)+(COUNT($J$35:$K$119)+1-_xlfn.RANK.EQ(J35,$J$35:$K$119,1)-_xlfn.RANK.EQ(J35,$J$35:$K$119,0))/2)</f>
        <v/>
      </c>
      <c r="AD35" s="95" t="str">
        <f>IF(K35="", "", _xlfn.RANK.EQ(K35,$J$35:$K$119,1)+(COUNT($J$35:$K$119)+1-_xlfn.RANK.EQ(K35,$J$35:$K$119,1)-_xlfn.RANK.EQ(K35,$J$35:$K$119,0))/2)</f>
        <v/>
      </c>
      <c r="AI35" s="97"/>
      <c r="AL35" s="95" t="str">
        <f>IF(AND(J35&lt;&gt;"", K35&lt;&gt;""), J35-K35,"")</f>
        <v/>
      </c>
      <c r="AM35" s="95" t="str">
        <f>IF(OR(OR(J35="", K35=""),AL35=0),"",ABS(AL35))</f>
        <v/>
      </c>
      <c r="AN35" s="95" t="str">
        <f>IF(OR(AM35="",AL35=0),"",_xlfn.RANK.AVG(AM35,$AM$35:$AM$119,1))</f>
        <v/>
      </c>
      <c r="AO35" s="95" t="str">
        <f>IF(AL35&gt;0, AN35, "")</f>
        <v/>
      </c>
      <c r="AP35" s="95" t="str">
        <f>IF(AL35&lt;0, AN35, "")</f>
        <v/>
      </c>
      <c r="AT35" s="97"/>
      <c r="AU35" s="98"/>
      <c r="AV35" s="98"/>
    </row>
    <row r="36" spans="1:49" x14ac:dyDescent="0.3">
      <c r="A36" s="4"/>
      <c r="B36" s="4"/>
      <c r="C36" s="11" t="str">
        <f t="shared" ref="C36:C99" si="5">IF(G36&lt;&gt;"",IF(ISTEXT(C35),1,C35+1),"")</f>
        <v/>
      </c>
      <c r="D36" s="17"/>
      <c r="E36" s="63"/>
      <c r="F36" s="63"/>
      <c r="G36" s="10" t="str">
        <f t="shared" ref="G36:G99" si="6">IF(OR(AND(D36&lt;&gt;"",E36&lt;&gt;"", F36&lt;&gt;"")),"X","")</f>
        <v/>
      </c>
      <c r="H36" s="4"/>
      <c r="I36" s="4"/>
      <c r="J36" s="170" t="str">
        <f t="shared" si="0"/>
        <v/>
      </c>
      <c r="K36" s="170" t="str">
        <f t="shared" ref="K36:K99" si="7">IF(AND(D36&lt;&gt;"",F36&lt;&gt;""),F36,"")</f>
        <v/>
      </c>
      <c r="L36" s="168" t="e">
        <f t="shared" ref="L36:L99" si="8">IF(J36&lt;&gt;"",J36,NA())</f>
        <v>#N/A</v>
      </c>
      <c r="M36" s="168" t="e">
        <f t="shared" ref="M36:M99" si="9">IF(K36&lt;&gt;"",K36,NA())</f>
        <v>#N/A</v>
      </c>
      <c r="O36" s="98" t="str">
        <f t="shared" si="1"/>
        <v/>
      </c>
      <c r="P36" s="98" t="str">
        <f t="shared" ref="P36:P99" si="10">IF($J36&lt;&gt;"", (SUMSQ($O$35:$O$119))^(-0.5)*O36, "")</f>
        <v/>
      </c>
      <c r="Q36" s="95" t="str">
        <f>IFERROR(-(VLOOKUP(CT_cnt-1, $C$37:$Q$119, 15,FALSE)),"")</f>
        <v/>
      </c>
      <c r="R36" s="95" t="str">
        <v/>
      </c>
      <c r="S36" s="97" t="str">
        <f t="shared" si="2"/>
        <v/>
      </c>
      <c r="T36" s="95" t="str">
        <f t="shared" ref="T36:T99" si="11">IF($J36="", "", $Q36*$R36)</f>
        <v/>
      </c>
      <c r="V36" s="98" t="str">
        <f t="shared" si="3"/>
        <v/>
      </c>
      <c r="W36" s="98" t="str">
        <f t="shared" ref="W36:W99" si="12">IF($K36&lt;&gt;"", (SUMSQ($V$35:$V$119))^(-0.5)*$V36, "")</f>
        <v/>
      </c>
      <c r="X36" s="95" t="str">
        <f>IFERROR(-(VLOOKUP(TX_cnt-1, $C$37:$X$119, COLUMN(X36)-2,FALSE)),"")</f>
        <v/>
      </c>
      <c r="Y36" s="95" t="str">
        <v/>
      </c>
      <c r="Z36" s="95" t="str">
        <f t="shared" si="4"/>
        <v/>
      </c>
      <c r="AA36" s="95" t="str">
        <f t="shared" ref="AA36:AA99" si="13">IF($K36&lt;&gt;"",X36*Y36,"")</f>
        <v/>
      </c>
      <c r="AC36" s="95" t="str">
        <f t="shared" ref="AC36:AC99" si="14">IF(J36="", "", _xlfn.RANK.EQ(J36,$J$35:$K$119,1)+(COUNT($J$35:$K$119)+1-_xlfn.RANK.EQ(J36,$J$35:$K$119,1)-_xlfn.RANK.EQ(J36,$J$35:$K$119,0))/2)</f>
        <v/>
      </c>
      <c r="AD36" s="95" t="str">
        <f t="shared" ref="AD36:AD99" si="15">IF(K36="", "", _xlfn.RANK.EQ(K36,$J$35:$K$119,1)+(COUNT($J$35:$K$119)+1-_xlfn.RANK.EQ(K36,$J$35:$K$119,1)-_xlfn.RANK.EQ(K36,$J$35:$K$119,0))/2)</f>
        <v/>
      </c>
      <c r="AI36" s="97"/>
      <c r="AL36" s="95" t="str">
        <f t="shared" ref="AL36:AL99" si="16">IF(AND(J36&lt;&gt;"", K36&lt;&gt;""), J36-K36,"")</f>
        <v/>
      </c>
      <c r="AM36" s="95" t="str">
        <f t="shared" ref="AM36:AM99" si="17">IF(OR(OR(J36="", K36=""),AL36=0),"",ABS(AL36))</f>
        <v/>
      </c>
      <c r="AN36" s="95" t="str">
        <f t="shared" ref="AN36:AN99" si="18">IF(OR(AM36="",AL36=0),"",_xlfn.RANK.AVG(AM36,$AM$35:$AM$119,1))</f>
        <v/>
      </c>
      <c r="AO36" s="95" t="str">
        <f t="shared" ref="AO36:AO99" si="19">IF(AL36&gt;0, AN36, "")</f>
        <v/>
      </c>
      <c r="AP36" s="95" t="str">
        <f t="shared" ref="AP36:AP99" si="20">IF(AL36&lt;0, AN36, "")</f>
        <v/>
      </c>
      <c r="AT36" s="97"/>
      <c r="AU36" s="98"/>
      <c r="AV36" s="98"/>
    </row>
    <row r="37" spans="1:49" x14ac:dyDescent="0.3">
      <c r="A37" s="4"/>
      <c r="B37" s="4"/>
      <c r="C37" s="11" t="str">
        <f t="shared" si="5"/>
        <v/>
      </c>
      <c r="D37" s="17"/>
      <c r="E37" s="63"/>
      <c r="F37" s="63"/>
      <c r="G37" s="10" t="str">
        <f t="shared" si="6"/>
        <v/>
      </c>
      <c r="H37" s="4"/>
      <c r="I37" s="4"/>
      <c r="J37" s="170" t="str">
        <f t="shared" si="0"/>
        <v/>
      </c>
      <c r="K37" s="170" t="str">
        <f t="shared" si="7"/>
        <v/>
      </c>
      <c r="L37" s="168" t="e">
        <f t="shared" si="8"/>
        <v>#N/A</v>
      </c>
      <c r="M37" s="168" t="e">
        <f t="shared" si="9"/>
        <v>#N/A</v>
      </c>
      <c r="O37" s="98" t="str">
        <f t="shared" si="1"/>
        <v/>
      </c>
      <c r="P37" s="98" t="str">
        <f t="shared" si="10"/>
        <v/>
      </c>
      <c r="Q37" s="95" t="str">
        <f t="shared" ref="Q37:Q68" si="21">IF(J37="", "", IF(C37=CT_cnt,P37+0.221157*(1/SQRT(CT_cnt))-0.147981*(1/SQRT(CT_cnt))^2-2.07119*(1/SQRT(CT_cnt))^3+4.434685*(1/SQRT(CT_cnt))^4-2.706056*(1/SQRT(CT_cnt))^5, IF(C37=(CT_cnt-1),P37+0.042981*(1/SQRT(CT_cnt))-0.293762*(1/SQRT(CT_cnt))^2-1.752461*(1/SQRT(CT_cnt))^3+5.682633*(1/SQRT(CT_cnt))^4-3.582663*(1/SQRT(CT_cnt))^5,O37/SQRT($P$20))))</f>
        <v/>
      </c>
      <c r="R37" s="95" t="str">
        <v/>
      </c>
      <c r="S37" s="97" t="str">
        <f t="shared" si="2"/>
        <v/>
      </c>
      <c r="T37" s="95" t="str">
        <f t="shared" si="11"/>
        <v/>
      </c>
      <c r="V37" s="98" t="str">
        <f t="shared" si="3"/>
        <v/>
      </c>
      <c r="W37" s="98" t="str">
        <f t="shared" si="12"/>
        <v/>
      </c>
      <c r="X37" s="95" t="str">
        <f t="shared" ref="X37:X68" si="22">IF($K37="", "", IF(C37=TX_cnt,W37+0.221157*(1/SQRT(TX_cnt))-0.147981*(1/SQRT(TX_cnt))^2-2.07119*(1/SQRT(TX_cnt))^3+4.434685*(1/SQRT(TX_cnt))^4-2.706056*(1/SQRT(TX_cnt))^5, IF(C37=(TX_cnt-1),W37+0.042981*(1/SQRT(TX_cnt))-0.293762*(1/SQRT(TX_cnt))^2-1.752461*(1/SQRT(TX_cnt))^3+5.682633*(1/SQRT(TX_cnt))^4-3.582663*(1/SQRT(TX_cnt))^5,V37/SQRT($W$20))))</f>
        <v/>
      </c>
      <c r="Y37" s="95" t="str">
        <v/>
      </c>
      <c r="Z37" s="95" t="str">
        <f t="shared" si="4"/>
        <v/>
      </c>
      <c r="AA37" s="95" t="str">
        <f t="shared" si="13"/>
        <v/>
      </c>
      <c r="AB37" s="121"/>
      <c r="AC37" s="95" t="str">
        <f t="shared" si="14"/>
        <v/>
      </c>
      <c r="AD37" s="95" t="str">
        <f t="shared" si="15"/>
        <v/>
      </c>
      <c r="AI37" s="97"/>
      <c r="AL37" s="95" t="str">
        <f t="shared" si="16"/>
        <v/>
      </c>
      <c r="AM37" s="95" t="str">
        <f t="shared" si="17"/>
        <v/>
      </c>
      <c r="AN37" s="95" t="str">
        <f t="shared" si="18"/>
        <v/>
      </c>
      <c r="AO37" s="95" t="str">
        <f t="shared" si="19"/>
        <v/>
      </c>
      <c r="AP37" s="95" t="str">
        <f t="shared" si="20"/>
        <v/>
      </c>
      <c r="AT37" s="97"/>
      <c r="AU37" s="98"/>
      <c r="AV37" s="98"/>
    </row>
    <row r="38" spans="1:49" x14ac:dyDescent="0.3">
      <c r="A38" s="4"/>
      <c r="B38" s="4"/>
      <c r="C38" s="11" t="str">
        <f>IF(G38&lt;&gt;"",IF(ISTEXT(C37),1,C37+1),"")</f>
        <v/>
      </c>
      <c r="D38" s="17"/>
      <c r="E38" s="63"/>
      <c r="F38" s="63"/>
      <c r="G38" s="10" t="str">
        <f t="shared" si="6"/>
        <v/>
      </c>
      <c r="H38" s="4"/>
      <c r="I38" s="4"/>
      <c r="J38" s="170" t="str">
        <f t="shared" si="0"/>
        <v/>
      </c>
      <c r="K38" s="170" t="str">
        <f t="shared" si="7"/>
        <v/>
      </c>
      <c r="L38" s="168" t="e">
        <f t="shared" si="8"/>
        <v>#N/A</v>
      </c>
      <c r="M38" s="168" t="e">
        <f t="shared" si="9"/>
        <v>#N/A</v>
      </c>
      <c r="O38" s="98" t="str">
        <f t="shared" si="1"/>
        <v/>
      </c>
      <c r="P38" s="98" t="str">
        <f t="shared" si="10"/>
        <v/>
      </c>
      <c r="Q38" s="95" t="str">
        <f t="shared" si="21"/>
        <v/>
      </c>
      <c r="R38" s="95" t="str">
        <v/>
      </c>
      <c r="S38" s="97" t="str">
        <f t="shared" si="2"/>
        <v/>
      </c>
      <c r="T38" s="95" t="str">
        <f t="shared" si="11"/>
        <v/>
      </c>
      <c r="V38" s="98" t="str">
        <f t="shared" si="3"/>
        <v/>
      </c>
      <c r="W38" s="98" t="str">
        <f t="shared" si="12"/>
        <v/>
      </c>
      <c r="X38" s="95" t="str">
        <f t="shared" si="22"/>
        <v/>
      </c>
      <c r="Y38" s="95" t="str">
        <v/>
      </c>
      <c r="Z38" s="95" t="str">
        <f t="shared" si="4"/>
        <v/>
      </c>
      <c r="AA38" s="95" t="str">
        <f t="shared" si="13"/>
        <v/>
      </c>
      <c r="AC38" s="95" t="str">
        <f t="shared" si="14"/>
        <v/>
      </c>
      <c r="AD38" s="95" t="str">
        <f t="shared" si="15"/>
        <v/>
      </c>
      <c r="AI38" s="97"/>
      <c r="AL38" s="95" t="str">
        <f t="shared" si="16"/>
        <v/>
      </c>
      <c r="AM38" s="95" t="str">
        <f t="shared" si="17"/>
        <v/>
      </c>
      <c r="AN38" s="95" t="str">
        <f t="shared" si="18"/>
        <v/>
      </c>
      <c r="AO38" s="95" t="str">
        <f t="shared" si="19"/>
        <v/>
      </c>
      <c r="AP38" s="95" t="str">
        <f t="shared" si="20"/>
        <v/>
      </c>
      <c r="AT38" s="97"/>
      <c r="AU38" s="98"/>
      <c r="AV38" s="98"/>
    </row>
    <row r="39" spans="1:49" x14ac:dyDescent="0.3">
      <c r="A39" s="4"/>
      <c r="B39" s="4"/>
      <c r="C39" s="11" t="str">
        <f t="shared" si="5"/>
        <v/>
      </c>
      <c r="D39" s="17"/>
      <c r="E39" s="64"/>
      <c r="F39" s="64"/>
      <c r="G39" s="10" t="str">
        <f t="shared" si="6"/>
        <v/>
      </c>
      <c r="H39" s="4"/>
      <c r="I39" s="4"/>
      <c r="J39" s="170" t="str">
        <f t="shared" si="0"/>
        <v/>
      </c>
      <c r="K39" s="170" t="str">
        <f t="shared" si="7"/>
        <v/>
      </c>
      <c r="L39" s="168" t="e">
        <f t="shared" si="8"/>
        <v>#N/A</v>
      </c>
      <c r="M39" s="168" t="e">
        <f t="shared" si="9"/>
        <v>#N/A</v>
      </c>
      <c r="O39" s="98" t="str">
        <f t="shared" si="1"/>
        <v/>
      </c>
      <c r="P39" s="98" t="str">
        <f t="shared" si="10"/>
        <v/>
      </c>
      <c r="Q39" s="95" t="str">
        <f t="shared" si="21"/>
        <v/>
      </c>
      <c r="R39" s="95" t="str">
        <v/>
      </c>
      <c r="S39" s="97" t="str">
        <f t="shared" si="2"/>
        <v/>
      </c>
      <c r="T39" s="95" t="str">
        <f t="shared" si="11"/>
        <v/>
      </c>
      <c r="V39" s="98" t="str">
        <f t="shared" si="3"/>
        <v/>
      </c>
      <c r="W39" s="98" t="str">
        <f t="shared" si="12"/>
        <v/>
      </c>
      <c r="X39" s="95" t="str">
        <f t="shared" si="22"/>
        <v/>
      </c>
      <c r="Y39" s="95" t="str">
        <v/>
      </c>
      <c r="Z39" s="95" t="str">
        <f t="shared" si="4"/>
        <v/>
      </c>
      <c r="AA39" s="95" t="str">
        <f t="shared" si="13"/>
        <v/>
      </c>
      <c r="AC39" s="95" t="str">
        <f t="shared" si="14"/>
        <v/>
      </c>
      <c r="AD39" s="95" t="str">
        <f t="shared" si="15"/>
        <v/>
      </c>
      <c r="AI39" s="97"/>
      <c r="AL39" s="95" t="str">
        <f t="shared" si="16"/>
        <v/>
      </c>
      <c r="AM39" s="95" t="str">
        <f t="shared" si="17"/>
        <v/>
      </c>
      <c r="AN39" s="95" t="str">
        <f t="shared" si="18"/>
        <v/>
      </c>
      <c r="AO39" s="95" t="str">
        <f t="shared" si="19"/>
        <v/>
      </c>
      <c r="AP39" s="95" t="str">
        <f t="shared" si="20"/>
        <v/>
      </c>
      <c r="AT39" s="97"/>
      <c r="AU39" s="98"/>
      <c r="AV39" s="98"/>
    </row>
    <row r="40" spans="1:49" x14ac:dyDescent="0.3">
      <c r="A40" s="4"/>
      <c r="B40" s="4"/>
      <c r="C40" s="11" t="str">
        <f t="shared" si="5"/>
        <v/>
      </c>
      <c r="D40" s="18"/>
      <c r="E40" s="64"/>
      <c r="F40" s="64"/>
      <c r="G40" s="10" t="str">
        <f t="shared" si="6"/>
        <v/>
      </c>
      <c r="H40" s="4"/>
      <c r="I40" s="4"/>
      <c r="J40" s="170" t="str">
        <f t="shared" si="0"/>
        <v/>
      </c>
      <c r="K40" s="170" t="str">
        <f t="shared" si="7"/>
        <v/>
      </c>
      <c r="L40" s="168" t="e">
        <f t="shared" si="8"/>
        <v>#N/A</v>
      </c>
      <c r="M40" s="168" t="e">
        <f t="shared" si="9"/>
        <v>#N/A</v>
      </c>
      <c r="O40" s="98" t="str">
        <f t="shared" si="1"/>
        <v/>
      </c>
      <c r="P40" s="98" t="str">
        <f t="shared" si="10"/>
        <v/>
      </c>
      <c r="Q40" s="95" t="str">
        <f t="shared" si="21"/>
        <v/>
      </c>
      <c r="R40" s="95" t="str">
        <v/>
      </c>
      <c r="S40" s="97" t="str">
        <f t="shared" si="2"/>
        <v/>
      </c>
      <c r="T40" s="95" t="str">
        <f t="shared" si="11"/>
        <v/>
      </c>
      <c r="V40" s="98" t="str">
        <f t="shared" si="3"/>
        <v/>
      </c>
      <c r="W40" s="98" t="str">
        <f t="shared" si="12"/>
        <v/>
      </c>
      <c r="X40" s="95" t="str">
        <f t="shared" si="22"/>
        <v/>
      </c>
      <c r="Y40" s="95" t="str">
        <v/>
      </c>
      <c r="Z40" s="95" t="str">
        <f t="shared" si="4"/>
        <v/>
      </c>
      <c r="AA40" s="95" t="str">
        <f t="shared" si="13"/>
        <v/>
      </c>
      <c r="AC40" s="95" t="str">
        <f t="shared" si="14"/>
        <v/>
      </c>
      <c r="AD40" s="95" t="str">
        <f t="shared" si="15"/>
        <v/>
      </c>
      <c r="AI40" s="97"/>
      <c r="AL40" s="95" t="str">
        <f t="shared" si="16"/>
        <v/>
      </c>
      <c r="AM40" s="95" t="str">
        <f t="shared" si="17"/>
        <v/>
      </c>
      <c r="AN40" s="95" t="str">
        <f t="shared" si="18"/>
        <v/>
      </c>
      <c r="AO40" s="95" t="str">
        <f t="shared" si="19"/>
        <v/>
      </c>
      <c r="AP40" s="95" t="str">
        <f t="shared" si="20"/>
        <v/>
      </c>
      <c r="AT40" s="97"/>
      <c r="AU40" s="98"/>
      <c r="AV40" s="98"/>
    </row>
    <row r="41" spans="1:49" x14ac:dyDescent="0.3">
      <c r="A41" s="4"/>
      <c r="B41" s="4"/>
      <c r="C41" s="11" t="str">
        <f t="shared" si="5"/>
        <v/>
      </c>
      <c r="D41" s="18"/>
      <c r="E41" s="64"/>
      <c r="F41" s="64"/>
      <c r="G41" s="10" t="str">
        <f t="shared" si="6"/>
        <v/>
      </c>
      <c r="H41" s="4"/>
      <c r="I41" s="4"/>
      <c r="J41" s="170" t="str">
        <f t="shared" si="0"/>
        <v/>
      </c>
      <c r="K41" s="170" t="str">
        <f t="shared" si="7"/>
        <v/>
      </c>
      <c r="L41" s="168" t="e">
        <f t="shared" si="8"/>
        <v>#N/A</v>
      </c>
      <c r="M41" s="168" t="e">
        <f t="shared" si="9"/>
        <v>#N/A</v>
      </c>
      <c r="O41" s="98" t="str">
        <f t="shared" si="1"/>
        <v/>
      </c>
      <c r="P41" s="98" t="str">
        <f t="shared" si="10"/>
        <v/>
      </c>
      <c r="Q41" s="95" t="str">
        <f t="shared" si="21"/>
        <v/>
      </c>
      <c r="R41" s="95" t="str">
        <v/>
      </c>
      <c r="S41" s="97" t="str">
        <f t="shared" si="2"/>
        <v/>
      </c>
      <c r="T41" s="95" t="str">
        <f t="shared" si="11"/>
        <v/>
      </c>
      <c r="V41" s="98" t="str">
        <f t="shared" si="3"/>
        <v/>
      </c>
      <c r="W41" s="98" t="str">
        <f t="shared" si="12"/>
        <v/>
      </c>
      <c r="X41" s="95" t="str">
        <f t="shared" si="22"/>
        <v/>
      </c>
      <c r="Y41" s="95" t="str">
        <v/>
      </c>
      <c r="Z41" s="95" t="str">
        <f t="shared" si="4"/>
        <v/>
      </c>
      <c r="AA41" s="95" t="str">
        <f t="shared" si="13"/>
        <v/>
      </c>
      <c r="AC41" s="95" t="str">
        <f t="shared" si="14"/>
        <v/>
      </c>
      <c r="AD41" s="95" t="str">
        <f t="shared" si="15"/>
        <v/>
      </c>
      <c r="AI41" s="97"/>
      <c r="AL41" s="95" t="str">
        <f t="shared" si="16"/>
        <v/>
      </c>
      <c r="AM41" s="95" t="str">
        <f t="shared" si="17"/>
        <v/>
      </c>
      <c r="AN41" s="95" t="str">
        <f t="shared" si="18"/>
        <v/>
      </c>
      <c r="AO41" s="95" t="str">
        <f t="shared" si="19"/>
        <v/>
      </c>
      <c r="AP41" s="95" t="str">
        <f t="shared" si="20"/>
        <v/>
      </c>
      <c r="AT41" s="97"/>
      <c r="AU41" s="98"/>
      <c r="AV41" s="98"/>
    </row>
    <row r="42" spans="1:49" x14ac:dyDescent="0.3">
      <c r="A42" s="4"/>
      <c r="B42" s="4"/>
      <c r="C42" s="11" t="str">
        <f t="shared" si="5"/>
        <v/>
      </c>
      <c r="D42" s="18"/>
      <c r="E42" s="64"/>
      <c r="F42" s="64"/>
      <c r="G42" s="10" t="str">
        <f t="shared" si="6"/>
        <v/>
      </c>
      <c r="H42" s="4"/>
      <c r="I42" s="4"/>
      <c r="J42" s="170" t="str">
        <f t="shared" si="0"/>
        <v/>
      </c>
      <c r="K42" s="170" t="str">
        <f t="shared" si="7"/>
        <v/>
      </c>
      <c r="L42" s="168" t="e">
        <f t="shared" si="8"/>
        <v>#N/A</v>
      </c>
      <c r="M42" s="168" t="e">
        <f t="shared" si="9"/>
        <v>#N/A</v>
      </c>
      <c r="O42" s="98" t="str">
        <f t="shared" si="1"/>
        <v/>
      </c>
      <c r="P42" s="98" t="str">
        <f t="shared" si="10"/>
        <v/>
      </c>
      <c r="Q42" s="95" t="str">
        <f t="shared" si="21"/>
        <v/>
      </c>
      <c r="R42" s="95" t="str">
        <v/>
      </c>
      <c r="S42" s="97" t="str">
        <f t="shared" si="2"/>
        <v/>
      </c>
      <c r="T42" s="95" t="str">
        <f t="shared" si="11"/>
        <v/>
      </c>
      <c r="V42" s="98" t="str">
        <f t="shared" si="3"/>
        <v/>
      </c>
      <c r="W42" s="98" t="str">
        <f t="shared" si="12"/>
        <v/>
      </c>
      <c r="X42" s="95" t="str">
        <f t="shared" si="22"/>
        <v/>
      </c>
      <c r="Y42" s="95" t="str">
        <v/>
      </c>
      <c r="Z42" s="95" t="str">
        <f t="shared" si="4"/>
        <v/>
      </c>
      <c r="AA42" s="95" t="str">
        <f t="shared" si="13"/>
        <v/>
      </c>
      <c r="AC42" s="95" t="str">
        <f t="shared" si="14"/>
        <v/>
      </c>
      <c r="AD42" s="95" t="str">
        <f t="shared" si="15"/>
        <v/>
      </c>
      <c r="AI42" s="97"/>
      <c r="AL42" s="95" t="str">
        <f t="shared" si="16"/>
        <v/>
      </c>
      <c r="AM42" s="95" t="str">
        <f t="shared" si="17"/>
        <v/>
      </c>
      <c r="AN42" s="95" t="str">
        <f t="shared" si="18"/>
        <v/>
      </c>
      <c r="AO42" s="95" t="str">
        <f t="shared" si="19"/>
        <v/>
      </c>
      <c r="AP42" s="95" t="str">
        <f t="shared" si="20"/>
        <v/>
      </c>
      <c r="AT42" s="97"/>
      <c r="AU42" s="98"/>
      <c r="AV42" s="98"/>
    </row>
    <row r="43" spans="1:49" x14ac:dyDescent="0.3">
      <c r="A43" s="4"/>
      <c r="B43" s="4"/>
      <c r="C43" s="11" t="str">
        <f t="shared" si="5"/>
        <v/>
      </c>
      <c r="D43" s="18"/>
      <c r="E43" s="64"/>
      <c r="F43" s="64"/>
      <c r="G43" s="10" t="str">
        <f t="shared" si="6"/>
        <v/>
      </c>
      <c r="H43" s="4"/>
      <c r="I43" s="4"/>
      <c r="J43" s="170" t="str">
        <f t="shared" si="0"/>
        <v/>
      </c>
      <c r="K43" s="170" t="str">
        <f t="shared" si="7"/>
        <v/>
      </c>
      <c r="L43" s="168" t="e">
        <f t="shared" si="8"/>
        <v>#N/A</v>
      </c>
      <c r="M43" s="168" t="e">
        <f t="shared" si="9"/>
        <v>#N/A</v>
      </c>
      <c r="O43" s="98" t="str">
        <f t="shared" si="1"/>
        <v/>
      </c>
      <c r="P43" s="98" t="str">
        <f t="shared" si="10"/>
        <v/>
      </c>
      <c r="Q43" s="95" t="str">
        <f t="shared" si="21"/>
        <v/>
      </c>
      <c r="R43" s="95" t="str">
        <v/>
      </c>
      <c r="S43" s="97" t="str">
        <f t="shared" si="2"/>
        <v/>
      </c>
      <c r="T43" s="95" t="str">
        <f t="shared" si="11"/>
        <v/>
      </c>
      <c r="V43" s="98" t="str">
        <f t="shared" si="3"/>
        <v/>
      </c>
      <c r="W43" s="98" t="str">
        <f t="shared" si="12"/>
        <v/>
      </c>
      <c r="X43" s="95" t="str">
        <f t="shared" si="22"/>
        <v/>
      </c>
      <c r="Y43" s="95" t="str">
        <v/>
      </c>
      <c r="Z43" s="95" t="str">
        <f t="shared" si="4"/>
        <v/>
      </c>
      <c r="AA43" s="95" t="str">
        <f t="shared" si="13"/>
        <v/>
      </c>
      <c r="AC43" s="95" t="str">
        <f t="shared" si="14"/>
        <v/>
      </c>
      <c r="AD43" s="95" t="str">
        <f t="shared" si="15"/>
        <v/>
      </c>
      <c r="AI43" s="97"/>
      <c r="AL43" s="95" t="str">
        <f t="shared" si="16"/>
        <v/>
      </c>
      <c r="AM43" s="95" t="str">
        <f t="shared" si="17"/>
        <v/>
      </c>
      <c r="AN43" s="95" t="str">
        <f t="shared" si="18"/>
        <v/>
      </c>
      <c r="AO43" s="95" t="str">
        <f t="shared" si="19"/>
        <v/>
      </c>
      <c r="AP43" s="95" t="str">
        <f t="shared" si="20"/>
        <v/>
      </c>
      <c r="AT43" s="97"/>
      <c r="AU43" s="98"/>
      <c r="AV43" s="98"/>
    </row>
    <row r="44" spans="1:49" x14ac:dyDescent="0.3">
      <c r="A44" s="4"/>
      <c r="B44" s="4"/>
      <c r="C44" s="11" t="str">
        <f t="shared" si="5"/>
        <v/>
      </c>
      <c r="D44" s="18"/>
      <c r="E44" s="64"/>
      <c r="F44" s="64"/>
      <c r="G44" s="10" t="str">
        <f t="shared" si="6"/>
        <v/>
      </c>
      <c r="H44" s="4"/>
      <c r="I44" s="4"/>
      <c r="J44" s="170" t="str">
        <f t="shared" si="0"/>
        <v/>
      </c>
      <c r="K44" s="170" t="str">
        <f t="shared" si="7"/>
        <v/>
      </c>
      <c r="L44" s="168" t="e">
        <f t="shared" si="8"/>
        <v>#N/A</v>
      </c>
      <c r="M44" s="168" t="e">
        <f t="shared" si="9"/>
        <v>#N/A</v>
      </c>
      <c r="O44" s="98" t="str">
        <f t="shared" si="1"/>
        <v/>
      </c>
      <c r="P44" s="98" t="str">
        <f t="shared" si="10"/>
        <v/>
      </c>
      <c r="Q44" s="95" t="str">
        <f t="shared" si="21"/>
        <v/>
      </c>
      <c r="R44" s="95" t="str">
        <v/>
      </c>
      <c r="S44" s="97" t="str">
        <f t="shared" si="2"/>
        <v/>
      </c>
      <c r="T44" s="95" t="str">
        <f t="shared" si="11"/>
        <v/>
      </c>
      <c r="V44" s="98" t="str">
        <f t="shared" si="3"/>
        <v/>
      </c>
      <c r="W44" s="98" t="str">
        <f t="shared" si="12"/>
        <v/>
      </c>
      <c r="X44" s="95" t="str">
        <f t="shared" si="22"/>
        <v/>
      </c>
      <c r="Y44" s="95" t="str">
        <v/>
      </c>
      <c r="Z44" s="95" t="str">
        <f t="shared" si="4"/>
        <v/>
      </c>
      <c r="AA44" s="95" t="str">
        <f t="shared" si="13"/>
        <v/>
      </c>
      <c r="AC44" s="95" t="str">
        <f t="shared" si="14"/>
        <v/>
      </c>
      <c r="AD44" s="95" t="str">
        <f t="shared" si="15"/>
        <v/>
      </c>
      <c r="AI44" s="97"/>
      <c r="AL44" s="95" t="str">
        <f t="shared" si="16"/>
        <v/>
      </c>
      <c r="AM44" s="95" t="str">
        <f t="shared" si="17"/>
        <v/>
      </c>
      <c r="AN44" s="95" t="str">
        <f t="shared" si="18"/>
        <v/>
      </c>
      <c r="AO44" s="95" t="str">
        <f t="shared" si="19"/>
        <v/>
      </c>
      <c r="AP44" s="95" t="str">
        <f t="shared" si="20"/>
        <v/>
      </c>
      <c r="AT44" s="97"/>
      <c r="AU44" s="98"/>
      <c r="AV44" s="98"/>
    </row>
    <row r="45" spans="1:49" x14ac:dyDescent="0.3">
      <c r="A45" s="4"/>
      <c r="B45" s="4"/>
      <c r="C45" s="11" t="str">
        <f t="shared" si="5"/>
        <v/>
      </c>
      <c r="D45" s="18"/>
      <c r="E45" s="64"/>
      <c r="F45" s="64"/>
      <c r="G45" s="10" t="str">
        <f t="shared" si="6"/>
        <v/>
      </c>
      <c r="H45" s="4"/>
      <c r="I45" s="4"/>
      <c r="J45" s="170" t="str">
        <f t="shared" si="0"/>
        <v/>
      </c>
      <c r="K45" s="170" t="str">
        <f t="shared" si="7"/>
        <v/>
      </c>
      <c r="L45" s="168" t="e">
        <f t="shared" si="8"/>
        <v>#N/A</v>
      </c>
      <c r="M45" s="168" t="e">
        <f t="shared" si="9"/>
        <v>#N/A</v>
      </c>
      <c r="O45" s="98" t="str">
        <f t="shared" si="1"/>
        <v/>
      </c>
      <c r="P45" s="98" t="str">
        <f t="shared" si="10"/>
        <v/>
      </c>
      <c r="Q45" s="95" t="str">
        <f t="shared" si="21"/>
        <v/>
      </c>
      <c r="R45" s="95" t="str">
        <v/>
      </c>
      <c r="S45" s="97" t="str">
        <f t="shared" si="2"/>
        <v/>
      </c>
      <c r="T45" s="95" t="str">
        <f t="shared" si="11"/>
        <v/>
      </c>
      <c r="V45" s="98" t="str">
        <f t="shared" si="3"/>
        <v/>
      </c>
      <c r="W45" s="98" t="str">
        <f t="shared" si="12"/>
        <v/>
      </c>
      <c r="X45" s="95" t="str">
        <f t="shared" si="22"/>
        <v/>
      </c>
      <c r="Y45" s="95" t="str">
        <v/>
      </c>
      <c r="Z45" s="95" t="str">
        <f t="shared" si="4"/>
        <v/>
      </c>
      <c r="AA45" s="95" t="str">
        <f t="shared" si="13"/>
        <v/>
      </c>
      <c r="AC45" s="95" t="str">
        <f t="shared" si="14"/>
        <v/>
      </c>
      <c r="AD45" s="95" t="str">
        <f t="shared" si="15"/>
        <v/>
      </c>
      <c r="AI45" s="97"/>
      <c r="AL45" s="95" t="str">
        <f t="shared" si="16"/>
        <v/>
      </c>
      <c r="AM45" s="95" t="str">
        <f t="shared" si="17"/>
        <v/>
      </c>
      <c r="AN45" s="95" t="str">
        <f t="shared" si="18"/>
        <v/>
      </c>
      <c r="AO45" s="95" t="str">
        <f t="shared" si="19"/>
        <v/>
      </c>
      <c r="AP45" s="95" t="str">
        <f t="shared" si="20"/>
        <v/>
      </c>
      <c r="AT45" s="97"/>
      <c r="AU45" s="98"/>
      <c r="AV45" s="98"/>
    </row>
    <row r="46" spans="1:49" x14ac:dyDescent="0.3">
      <c r="A46" s="4"/>
      <c r="B46" s="4"/>
      <c r="C46" s="11" t="str">
        <f t="shared" si="5"/>
        <v/>
      </c>
      <c r="D46" s="18"/>
      <c r="E46" s="64"/>
      <c r="F46" s="64"/>
      <c r="G46" s="10" t="str">
        <f t="shared" si="6"/>
        <v/>
      </c>
      <c r="H46" s="4"/>
      <c r="I46" s="4"/>
      <c r="J46" s="170" t="str">
        <f t="shared" si="0"/>
        <v/>
      </c>
      <c r="K46" s="170" t="str">
        <f t="shared" si="7"/>
        <v/>
      </c>
      <c r="L46" s="168" t="e">
        <f t="shared" si="8"/>
        <v>#N/A</v>
      </c>
      <c r="M46" s="168" t="e">
        <f t="shared" si="9"/>
        <v>#N/A</v>
      </c>
      <c r="O46" s="98" t="str">
        <f t="shared" si="1"/>
        <v/>
      </c>
      <c r="P46" s="98" t="str">
        <f t="shared" si="10"/>
        <v/>
      </c>
      <c r="Q46" s="95" t="str">
        <f t="shared" si="21"/>
        <v/>
      </c>
      <c r="R46" s="95" t="str">
        <v/>
      </c>
      <c r="S46" s="97" t="str">
        <f t="shared" si="2"/>
        <v/>
      </c>
      <c r="T46" s="95" t="str">
        <f t="shared" si="11"/>
        <v/>
      </c>
      <c r="V46" s="98" t="str">
        <f t="shared" si="3"/>
        <v/>
      </c>
      <c r="W46" s="98" t="str">
        <f t="shared" si="12"/>
        <v/>
      </c>
      <c r="X46" s="95" t="str">
        <f t="shared" si="22"/>
        <v/>
      </c>
      <c r="Y46" s="95" t="str">
        <v/>
      </c>
      <c r="Z46" s="95" t="str">
        <f t="shared" si="4"/>
        <v/>
      </c>
      <c r="AA46" s="95" t="str">
        <f t="shared" si="13"/>
        <v/>
      </c>
      <c r="AC46" s="95" t="str">
        <f t="shared" si="14"/>
        <v/>
      </c>
      <c r="AD46" s="95" t="str">
        <f t="shared" si="15"/>
        <v/>
      </c>
      <c r="AI46" s="97"/>
      <c r="AL46" s="95" t="str">
        <f t="shared" si="16"/>
        <v/>
      </c>
      <c r="AM46" s="95" t="str">
        <f t="shared" si="17"/>
        <v/>
      </c>
      <c r="AN46" s="95" t="str">
        <f t="shared" si="18"/>
        <v/>
      </c>
      <c r="AO46" s="95" t="str">
        <f t="shared" si="19"/>
        <v/>
      </c>
      <c r="AP46" s="95" t="str">
        <f t="shared" si="20"/>
        <v/>
      </c>
      <c r="AT46" s="97"/>
      <c r="AU46" s="98"/>
      <c r="AV46" s="98"/>
    </row>
    <row r="47" spans="1:49" x14ac:dyDescent="0.3">
      <c r="A47" s="4"/>
      <c r="B47" s="4"/>
      <c r="C47" s="11" t="str">
        <f t="shared" si="5"/>
        <v/>
      </c>
      <c r="D47" s="18"/>
      <c r="E47" s="64"/>
      <c r="F47" s="64"/>
      <c r="G47" s="10" t="str">
        <f t="shared" si="6"/>
        <v/>
      </c>
      <c r="H47" s="4"/>
      <c r="I47" s="4"/>
      <c r="J47" s="170" t="str">
        <f t="shared" si="0"/>
        <v/>
      </c>
      <c r="K47" s="170" t="str">
        <f t="shared" si="7"/>
        <v/>
      </c>
      <c r="L47" s="168" t="e">
        <f t="shared" si="8"/>
        <v>#N/A</v>
      </c>
      <c r="M47" s="168" t="e">
        <f t="shared" si="9"/>
        <v>#N/A</v>
      </c>
      <c r="O47" s="98" t="str">
        <f t="shared" si="1"/>
        <v/>
      </c>
      <c r="P47" s="98" t="str">
        <f t="shared" si="10"/>
        <v/>
      </c>
      <c r="Q47" s="95" t="str">
        <f t="shared" si="21"/>
        <v/>
      </c>
      <c r="R47" s="95" t="str">
        <v/>
      </c>
      <c r="S47" s="97" t="str">
        <f t="shared" si="2"/>
        <v/>
      </c>
      <c r="T47" s="95" t="str">
        <f t="shared" si="11"/>
        <v/>
      </c>
      <c r="V47" s="98" t="str">
        <f t="shared" si="3"/>
        <v/>
      </c>
      <c r="W47" s="98" t="str">
        <f t="shared" si="12"/>
        <v/>
      </c>
      <c r="X47" s="95" t="str">
        <f t="shared" si="22"/>
        <v/>
      </c>
      <c r="Y47" s="95" t="str">
        <v/>
      </c>
      <c r="Z47" s="95" t="str">
        <f t="shared" si="4"/>
        <v/>
      </c>
      <c r="AA47" s="95" t="str">
        <f t="shared" si="13"/>
        <v/>
      </c>
      <c r="AC47" s="95" t="str">
        <f t="shared" si="14"/>
        <v/>
      </c>
      <c r="AD47" s="95" t="str">
        <f t="shared" si="15"/>
        <v/>
      </c>
      <c r="AI47" s="97"/>
      <c r="AL47" s="95" t="str">
        <f t="shared" si="16"/>
        <v/>
      </c>
      <c r="AM47" s="95" t="str">
        <f t="shared" si="17"/>
        <v/>
      </c>
      <c r="AN47" s="95" t="str">
        <f t="shared" si="18"/>
        <v/>
      </c>
      <c r="AO47" s="95" t="str">
        <f t="shared" si="19"/>
        <v/>
      </c>
      <c r="AP47" s="95" t="str">
        <f t="shared" si="20"/>
        <v/>
      </c>
      <c r="AT47" s="97"/>
      <c r="AU47" s="98"/>
      <c r="AV47" s="98"/>
    </row>
    <row r="48" spans="1:49" x14ac:dyDescent="0.3">
      <c r="A48" s="4"/>
      <c r="B48" s="4"/>
      <c r="C48" s="11" t="str">
        <f t="shared" si="5"/>
        <v/>
      </c>
      <c r="D48" s="18"/>
      <c r="E48" s="64"/>
      <c r="F48" s="64"/>
      <c r="G48" s="10" t="str">
        <f t="shared" si="6"/>
        <v/>
      </c>
      <c r="H48" s="4"/>
      <c r="I48" s="4"/>
      <c r="J48" s="170" t="str">
        <f t="shared" si="0"/>
        <v/>
      </c>
      <c r="K48" s="170" t="str">
        <f t="shared" si="7"/>
        <v/>
      </c>
      <c r="L48" s="168" t="e">
        <f t="shared" si="8"/>
        <v>#N/A</v>
      </c>
      <c r="M48" s="168" t="e">
        <f t="shared" si="9"/>
        <v>#N/A</v>
      </c>
      <c r="O48" s="98" t="str">
        <f t="shared" si="1"/>
        <v/>
      </c>
      <c r="P48" s="98" t="str">
        <f t="shared" si="10"/>
        <v/>
      </c>
      <c r="Q48" s="95" t="str">
        <f t="shared" si="21"/>
        <v/>
      </c>
      <c r="R48" s="95" t="str">
        <v/>
      </c>
      <c r="S48" s="97" t="str">
        <f t="shared" si="2"/>
        <v/>
      </c>
      <c r="T48" s="95" t="str">
        <f t="shared" si="11"/>
        <v/>
      </c>
      <c r="V48" s="98" t="str">
        <f t="shared" si="3"/>
        <v/>
      </c>
      <c r="W48" s="98" t="str">
        <f t="shared" si="12"/>
        <v/>
      </c>
      <c r="X48" s="95" t="str">
        <f t="shared" si="22"/>
        <v/>
      </c>
      <c r="Y48" s="95" t="str">
        <v/>
      </c>
      <c r="Z48" s="95" t="str">
        <f t="shared" si="4"/>
        <v/>
      </c>
      <c r="AA48" s="95" t="str">
        <f t="shared" si="13"/>
        <v/>
      </c>
      <c r="AC48" s="95" t="str">
        <f t="shared" si="14"/>
        <v/>
      </c>
      <c r="AD48" s="95" t="str">
        <f t="shared" si="15"/>
        <v/>
      </c>
      <c r="AI48" s="97"/>
      <c r="AL48" s="95" t="str">
        <f t="shared" si="16"/>
        <v/>
      </c>
      <c r="AM48" s="95" t="str">
        <f t="shared" si="17"/>
        <v/>
      </c>
      <c r="AN48" s="95" t="str">
        <f t="shared" si="18"/>
        <v/>
      </c>
      <c r="AO48" s="95" t="str">
        <f t="shared" si="19"/>
        <v/>
      </c>
      <c r="AP48" s="95" t="str">
        <f t="shared" si="20"/>
        <v/>
      </c>
      <c r="AT48" s="97"/>
      <c r="AU48" s="98"/>
      <c r="AV48" s="98"/>
    </row>
    <row r="49" spans="1:49" x14ac:dyDescent="0.3">
      <c r="A49" s="4"/>
      <c r="B49" s="4"/>
      <c r="C49" s="11" t="str">
        <f t="shared" si="5"/>
        <v/>
      </c>
      <c r="D49" s="18"/>
      <c r="E49" s="64"/>
      <c r="F49" s="64"/>
      <c r="G49" s="10" t="str">
        <f t="shared" si="6"/>
        <v/>
      </c>
      <c r="H49" s="4"/>
      <c r="I49" s="4"/>
      <c r="J49" s="170" t="str">
        <f t="shared" si="0"/>
        <v/>
      </c>
      <c r="K49" s="170" t="str">
        <f t="shared" si="7"/>
        <v/>
      </c>
      <c r="L49" s="168" t="e">
        <f t="shared" si="8"/>
        <v>#N/A</v>
      </c>
      <c r="M49" s="168" t="e">
        <f t="shared" si="9"/>
        <v>#N/A</v>
      </c>
      <c r="O49" s="98" t="str">
        <f t="shared" si="1"/>
        <v/>
      </c>
      <c r="P49" s="98" t="str">
        <f t="shared" si="10"/>
        <v/>
      </c>
      <c r="Q49" s="95" t="str">
        <f t="shared" si="21"/>
        <v/>
      </c>
      <c r="R49" s="95" t="str">
        <v/>
      </c>
      <c r="S49" s="97" t="str">
        <f t="shared" si="2"/>
        <v/>
      </c>
      <c r="T49" s="95" t="str">
        <f t="shared" si="11"/>
        <v/>
      </c>
      <c r="V49" s="98" t="str">
        <f t="shared" si="3"/>
        <v/>
      </c>
      <c r="W49" s="98" t="str">
        <f t="shared" si="12"/>
        <v/>
      </c>
      <c r="X49" s="95" t="str">
        <f t="shared" si="22"/>
        <v/>
      </c>
      <c r="Y49" s="95" t="str">
        <v/>
      </c>
      <c r="Z49" s="95" t="str">
        <f t="shared" si="4"/>
        <v/>
      </c>
      <c r="AA49" s="95" t="str">
        <f t="shared" si="13"/>
        <v/>
      </c>
      <c r="AC49" s="95" t="str">
        <f t="shared" si="14"/>
        <v/>
      </c>
      <c r="AD49" s="95" t="str">
        <f t="shared" si="15"/>
        <v/>
      </c>
      <c r="AH49" s="97"/>
      <c r="AL49" s="95" t="str">
        <f t="shared" si="16"/>
        <v/>
      </c>
      <c r="AM49" s="95" t="str">
        <f t="shared" si="17"/>
        <v/>
      </c>
      <c r="AN49" s="95" t="str">
        <f t="shared" si="18"/>
        <v/>
      </c>
      <c r="AO49" s="95" t="str">
        <f t="shared" si="19"/>
        <v/>
      </c>
      <c r="AP49" s="95" t="str">
        <f t="shared" si="20"/>
        <v/>
      </c>
      <c r="AS49" s="97" t="str">
        <f t="shared" ref="AS49:AS80" si="23">IF(AR49&lt;&gt;"",(AR49-AVERAGE($AT$9:$AT$119))^2, "")</f>
        <v/>
      </c>
      <c r="AT49" s="98" t="str">
        <f t="shared" ref="AT49:AT80" si="24">IF(AQ49&lt;&gt;"", _xlfn.NORM.S.INV((AQ49-0.375)/($AT$6+0.25)), "")</f>
        <v/>
      </c>
      <c r="AU49" s="98" t="str">
        <f t="shared" ref="AU49:AU80" si="25">IF(AQ49&lt;&gt;"", (SUMSQ($AV$9:$AV$119))^(-0.5)*AT49, "")</f>
        <v/>
      </c>
      <c r="AV49" s="95" t="str">
        <f>IF(AQ49="", "", IF(AQ49=$AT$6,AU49+0.221157*(1/SQRT($AT$6))-0.147981*(1/SQRT($AT$6))^2-2.07119*(1/SQRT($AT$6))^3+4.434685*(1/SQRT($AT$6))^4-2.706056*(1/SQRT($AT$6))^5, IF(AQ49=($AT$6-1),AU49+0.042981*(1/SQRT($AT$6))-0.293762*(1/SQRT($AT$6))^2-1.752461*(1/SQRT($AT$6))^3+5.682633*(1/SQRT($AT$6))^4-3.582663*(1/SQRT($AT$6))^5,AT49/SQRT(#REF!))))</f>
        <v/>
      </c>
      <c r="AW49" s="95" t="str">
        <f t="shared" ref="AW49:AW80" si="26">IF(AQ49="", "", AV49*AR49)</f>
        <v/>
      </c>
    </row>
    <row r="50" spans="1:49" x14ac:dyDescent="0.3">
      <c r="A50" s="4"/>
      <c r="B50" s="4"/>
      <c r="C50" s="11" t="str">
        <f t="shared" si="5"/>
        <v/>
      </c>
      <c r="D50" s="18"/>
      <c r="E50" s="64"/>
      <c r="F50" s="64"/>
      <c r="G50" s="10" t="str">
        <f t="shared" si="6"/>
        <v/>
      </c>
      <c r="H50" s="4"/>
      <c r="I50" s="4"/>
      <c r="J50" s="170" t="str">
        <f t="shared" si="0"/>
        <v/>
      </c>
      <c r="K50" s="170" t="str">
        <f t="shared" si="7"/>
        <v/>
      </c>
      <c r="L50" s="168" t="e">
        <f t="shared" si="8"/>
        <v>#N/A</v>
      </c>
      <c r="M50" s="168" t="e">
        <f t="shared" si="9"/>
        <v>#N/A</v>
      </c>
      <c r="O50" s="98" t="str">
        <f t="shared" si="1"/>
        <v/>
      </c>
      <c r="P50" s="98" t="str">
        <f t="shared" si="10"/>
        <v/>
      </c>
      <c r="Q50" s="95" t="str">
        <f t="shared" si="21"/>
        <v/>
      </c>
      <c r="R50" s="97" t="str">
        <v/>
      </c>
      <c r="S50" s="97" t="str">
        <f t="shared" si="2"/>
        <v/>
      </c>
      <c r="T50" s="95" t="str">
        <f t="shared" si="11"/>
        <v/>
      </c>
      <c r="V50" s="98" t="str">
        <f t="shared" si="3"/>
        <v/>
      </c>
      <c r="W50" s="98" t="str">
        <f t="shared" si="12"/>
        <v/>
      </c>
      <c r="X50" s="95" t="str">
        <f t="shared" si="22"/>
        <v/>
      </c>
      <c r="Y50" s="95" t="str">
        <v/>
      </c>
      <c r="Z50" s="95" t="str">
        <f t="shared" si="4"/>
        <v/>
      </c>
      <c r="AA50" s="95" t="str">
        <f t="shared" si="13"/>
        <v/>
      </c>
      <c r="AC50" s="95" t="str">
        <f t="shared" si="14"/>
        <v/>
      </c>
      <c r="AD50" s="95" t="str">
        <f t="shared" si="15"/>
        <v/>
      </c>
      <c r="AH50" s="97"/>
      <c r="AL50" s="95" t="str">
        <f t="shared" si="16"/>
        <v/>
      </c>
      <c r="AM50" s="95" t="str">
        <f t="shared" si="17"/>
        <v/>
      </c>
      <c r="AN50" s="95" t="str">
        <f t="shared" si="18"/>
        <v/>
      </c>
      <c r="AO50" s="95" t="str">
        <f t="shared" si="19"/>
        <v/>
      </c>
      <c r="AP50" s="95" t="str">
        <f t="shared" si="20"/>
        <v/>
      </c>
      <c r="AS50" s="97" t="str">
        <f t="shared" si="23"/>
        <v/>
      </c>
      <c r="AT50" s="98" t="str">
        <f t="shared" si="24"/>
        <v/>
      </c>
      <c r="AU50" s="98" t="str">
        <f t="shared" si="25"/>
        <v/>
      </c>
      <c r="AV50" s="95" t="str">
        <f>IF(AQ50="", "", IF(AQ50=$AT$6,AU50+0.221157*(1/SQRT($AT$6))-0.147981*(1/SQRT($AT$6))^2-2.07119*(1/SQRT($AT$6))^3+4.434685*(1/SQRT($AT$6))^4-2.706056*(1/SQRT($AT$6))^5, IF(AQ50=($AT$6-1),AU50+0.042981*(1/SQRT($AT$6))-0.293762*(1/SQRT($AT$6))^2-1.752461*(1/SQRT($AT$6))^3+5.682633*(1/SQRT($AT$6))^4-3.582663*(1/SQRT($AT$6))^5,AT50/SQRT(#REF!))))</f>
        <v/>
      </c>
      <c r="AW50" s="95" t="str">
        <f t="shared" si="26"/>
        <v/>
      </c>
    </row>
    <row r="51" spans="1:49" x14ac:dyDescent="0.3">
      <c r="A51" s="4"/>
      <c r="B51" s="4"/>
      <c r="C51" s="11" t="str">
        <f t="shared" si="5"/>
        <v/>
      </c>
      <c r="D51" s="18"/>
      <c r="E51" s="64"/>
      <c r="F51" s="64"/>
      <c r="G51" s="10" t="str">
        <f t="shared" si="6"/>
        <v/>
      </c>
      <c r="H51" s="4"/>
      <c r="I51" s="4"/>
      <c r="J51" s="170" t="str">
        <f t="shared" si="0"/>
        <v/>
      </c>
      <c r="K51" s="170" t="str">
        <f t="shared" si="7"/>
        <v/>
      </c>
      <c r="L51" s="168" t="e">
        <f t="shared" si="8"/>
        <v>#N/A</v>
      </c>
      <c r="M51" s="168" t="e">
        <f t="shared" si="9"/>
        <v>#N/A</v>
      </c>
      <c r="O51" s="98" t="str">
        <f t="shared" si="1"/>
        <v/>
      </c>
      <c r="P51" s="98" t="str">
        <f t="shared" si="10"/>
        <v/>
      </c>
      <c r="Q51" s="95" t="str">
        <f t="shared" si="21"/>
        <v/>
      </c>
      <c r="R51" s="97" t="str">
        <v/>
      </c>
      <c r="S51" s="97" t="str">
        <f t="shared" si="2"/>
        <v/>
      </c>
      <c r="T51" s="95" t="str">
        <f t="shared" si="11"/>
        <v/>
      </c>
      <c r="V51" s="98" t="str">
        <f t="shared" si="3"/>
        <v/>
      </c>
      <c r="W51" s="98" t="str">
        <f t="shared" si="12"/>
        <v/>
      </c>
      <c r="X51" s="95" t="str">
        <f t="shared" si="22"/>
        <v/>
      </c>
      <c r="Y51" s="95" t="str">
        <v/>
      </c>
      <c r="Z51" s="95" t="str">
        <f t="shared" si="4"/>
        <v/>
      </c>
      <c r="AA51" s="95" t="str">
        <f t="shared" si="13"/>
        <v/>
      </c>
      <c r="AC51" s="95" t="str">
        <f t="shared" si="14"/>
        <v/>
      </c>
      <c r="AD51" s="95" t="str">
        <f t="shared" si="15"/>
        <v/>
      </c>
      <c r="AH51" s="97"/>
      <c r="AL51" s="95" t="str">
        <f t="shared" si="16"/>
        <v/>
      </c>
      <c r="AM51" s="95" t="str">
        <f t="shared" si="17"/>
        <v/>
      </c>
      <c r="AN51" s="95" t="str">
        <f t="shared" si="18"/>
        <v/>
      </c>
      <c r="AO51" s="95" t="str">
        <f t="shared" si="19"/>
        <v/>
      </c>
      <c r="AP51" s="95" t="str">
        <f t="shared" si="20"/>
        <v/>
      </c>
      <c r="AS51" s="97" t="str">
        <f t="shared" si="23"/>
        <v/>
      </c>
      <c r="AT51" s="98" t="str">
        <f t="shared" si="24"/>
        <v/>
      </c>
      <c r="AU51" s="98" t="str">
        <f t="shared" si="25"/>
        <v/>
      </c>
      <c r="AV51" s="95" t="str">
        <f>IF(AQ51="", "", IF(AQ51=$AT$6,AU51+0.221157*(1/SQRT($AT$6))-0.147981*(1/SQRT($AT$6))^2-2.07119*(1/SQRT($AT$6))^3+4.434685*(1/SQRT($AT$6))^4-2.706056*(1/SQRT($AT$6))^5, IF(AQ51=($AT$6-1),AU51+0.042981*(1/SQRT($AT$6))-0.293762*(1/SQRT($AT$6))^2-1.752461*(1/SQRT($AT$6))^3+5.682633*(1/SQRT($AT$6))^4-3.582663*(1/SQRT($AT$6))^5,AT51/SQRT(#REF!))))</f>
        <v/>
      </c>
      <c r="AW51" s="95" t="str">
        <f t="shared" si="26"/>
        <v/>
      </c>
    </row>
    <row r="52" spans="1:49" x14ac:dyDescent="0.3">
      <c r="A52" s="4"/>
      <c r="B52" s="4"/>
      <c r="C52" s="11" t="str">
        <f t="shared" si="5"/>
        <v/>
      </c>
      <c r="D52" s="18"/>
      <c r="E52" s="64"/>
      <c r="F52" s="64"/>
      <c r="G52" s="10" t="str">
        <f t="shared" si="6"/>
        <v/>
      </c>
      <c r="H52" s="4"/>
      <c r="I52" s="4"/>
      <c r="J52" s="170" t="str">
        <f t="shared" si="0"/>
        <v/>
      </c>
      <c r="K52" s="170" t="str">
        <f t="shared" si="7"/>
        <v/>
      </c>
      <c r="L52" s="168" t="e">
        <f t="shared" si="8"/>
        <v>#N/A</v>
      </c>
      <c r="M52" s="168" t="e">
        <f t="shared" si="9"/>
        <v>#N/A</v>
      </c>
      <c r="O52" s="98" t="str">
        <f t="shared" si="1"/>
        <v/>
      </c>
      <c r="P52" s="98" t="str">
        <f t="shared" si="10"/>
        <v/>
      </c>
      <c r="Q52" s="95" t="str">
        <f t="shared" si="21"/>
        <v/>
      </c>
      <c r="R52" s="97" t="str">
        <v/>
      </c>
      <c r="S52" s="97" t="str">
        <f t="shared" si="2"/>
        <v/>
      </c>
      <c r="T52" s="95" t="str">
        <f t="shared" si="11"/>
        <v/>
      </c>
      <c r="V52" s="98" t="str">
        <f t="shared" si="3"/>
        <v/>
      </c>
      <c r="W52" s="98" t="str">
        <f t="shared" si="12"/>
        <v/>
      </c>
      <c r="X52" s="95" t="str">
        <f t="shared" si="22"/>
        <v/>
      </c>
      <c r="Y52" s="95" t="str">
        <v/>
      </c>
      <c r="Z52" s="95" t="str">
        <f t="shared" si="4"/>
        <v/>
      </c>
      <c r="AA52" s="95" t="str">
        <f t="shared" si="13"/>
        <v/>
      </c>
      <c r="AC52" s="95" t="str">
        <f t="shared" si="14"/>
        <v/>
      </c>
      <c r="AD52" s="95" t="str">
        <f t="shared" si="15"/>
        <v/>
      </c>
      <c r="AH52" s="97"/>
      <c r="AL52" s="95" t="str">
        <f t="shared" si="16"/>
        <v/>
      </c>
      <c r="AM52" s="95" t="str">
        <f t="shared" si="17"/>
        <v/>
      </c>
      <c r="AN52" s="95" t="str">
        <f t="shared" si="18"/>
        <v/>
      </c>
      <c r="AO52" s="95" t="str">
        <f t="shared" si="19"/>
        <v/>
      </c>
      <c r="AP52" s="95" t="str">
        <f t="shared" si="20"/>
        <v/>
      </c>
      <c r="AS52" s="97" t="str">
        <f t="shared" si="23"/>
        <v/>
      </c>
      <c r="AT52" s="98" t="str">
        <f t="shared" si="24"/>
        <v/>
      </c>
      <c r="AU52" s="98" t="str">
        <f t="shared" si="25"/>
        <v/>
      </c>
      <c r="AV52" s="95" t="str">
        <f>IF(AQ52="", "", IF(AQ52=$AT$6,AU52+0.221157*(1/SQRT($AT$6))-0.147981*(1/SQRT($AT$6))^2-2.07119*(1/SQRT($AT$6))^3+4.434685*(1/SQRT($AT$6))^4-2.706056*(1/SQRT($AT$6))^5, IF(AQ52=($AT$6-1),AU52+0.042981*(1/SQRT($AT$6))-0.293762*(1/SQRT($AT$6))^2-1.752461*(1/SQRT($AT$6))^3+5.682633*(1/SQRT($AT$6))^4-3.582663*(1/SQRT($AT$6))^5,AT52/SQRT(#REF!))))</f>
        <v/>
      </c>
      <c r="AW52" s="95" t="str">
        <f t="shared" si="26"/>
        <v/>
      </c>
    </row>
    <row r="53" spans="1:49" x14ac:dyDescent="0.3">
      <c r="A53" s="4"/>
      <c r="B53" s="4"/>
      <c r="C53" s="11" t="str">
        <f t="shared" si="5"/>
        <v/>
      </c>
      <c r="D53" s="18"/>
      <c r="E53" s="64"/>
      <c r="F53" s="64"/>
      <c r="G53" s="10" t="str">
        <f t="shared" si="6"/>
        <v/>
      </c>
      <c r="H53" s="4"/>
      <c r="I53" s="4"/>
      <c r="J53" s="170" t="str">
        <f t="shared" si="0"/>
        <v/>
      </c>
      <c r="K53" s="170" t="str">
        <f t="shared" si="7"/>
        <v/>
      </c>
      <c r="L53" s="168" t="e">
        <f t="shared" si="8"/>
        <v>#N/A</v>
      </c>
      <c r="M53" s="168" t="e">
        <f t="shared" si="9"/>
        <v>#N/A</v>
      </c>
      <c r="O53" s="98" t="str">
        <f t="shared" si="1"/>
        <v/>
      </c>
      <c r="P53" s="98" t="str">
        <f t="shared" si="10"/>
        <v/>
      </c>
      <c r="Q53" s="95" t="str">
        <f t="shared" si="21"/>
        <v/>
      </c>
      <c r="R53" s="97" t="str">
        <v/>
      </c>
      <c r="S53" s="97" t="str">
        <f t="shared" si="2"/>
        <v/>
      </c>
      <c r="T53" s="95" t="str">
        <f t="shared" si="11"/>
        <v/>
      </c>
      <c r="V53" s="98" t="str">
        <f t="shared" si="3"/>
        <v/>
      </c>
      <c r="W53" s="98" t="str">
        <f t="shared" si="12"/>
        <v/>
      </c>
      <c r="X53" s="95" t="str">
        <f t="shared" si="22"/>
        <v/>
      </c>
      <c r="Y53" s="95" t="str">
        <v/>
      </c>
      <c r="Z53" s="95" t="str">
        <f t="shared" si="4"/>
        <v/>
      </c>
      <c r="AA53" s="95" t="str">
        <f t="shared" si="13"/>
        <v/>
      </c>
      <c r="AC53" s="95" t="str">
        <f t="shared" si="14"/>
        <v/>
      </c>
      <c r="AD53" s="95" t="str">
        <f t="shared" si="15"/>
        <v/>
      </c>
      <c r="AH53" s="97"/>
      <c r="AL53" s="95" t="str">
        <f t="shared" si="16"/>
        <v/>
      </c>
      <c r="AM53" s="95" t="str">
        <f t="shared" si="17"/>
        <v/>
      </c>
      <c r="AN53" s="95" t="str">
        <f t="shared" si="18"/>
        <v/>
      </c>
      <c r="AO53" s="95" t="str">
        <f t="shared" si="19"/>
        <v/>
      </c>
      <c r="AP53" s="95" t="str">
        <f t="shared" si="20"/>
        <v/>
      </c>
      <c r="AS53" s="97" t="str">
        <f t="shared" si="23"/>
        <v/>
      </c>
      <c r="AT53" s="98" t="str">
        <f t="shared" si="24"/>
        <v/>
      </c>
      <c r="AU53" s="98" t="str">
        <f t="shared" si="25"/>
        <v/>
      </c>
      <c r="AV53" s="95" t="str">
        <f>IF(AQ53="", "", IF(AQ53=$AT$6,AU53+0.221157*(1/SQRT($AT$6))-0.147981*(1/SQRT($AT$6))^2-2.07119*(1/SQRT($AT$6))^3+4.434685*(1/SQRT($AT$6))^4-2.706056*(1/SQRT($AT$6))^5, IF(AQ53=($AT$6-1),AU53+0.042981*(1/SQRT($AT$6))-0.293762*(1/SQRT($AT$6))^2-1.752461*(1/SQRT($AT$6))^3+5.682633*(1/SQRT($AT$6))^4-3.582663*(1/SQRT($AT$6))^5,AT53/SQRT(#REF!))))</f>
        <v/>
      </c>
      <c r="AW53" s="95" t="str">
        <f t="shared" si="26"/>
        <v/>
      </c>
    </row>
    <row r="54" spans="1:49" x14ac:dyDescent="0.3">
      <c r="A54" s="4"/>
      <c r="B54" s="4"/>
      <c r="C54" s="11" t="str">
        <f t="shared" si="5"/>
        <v/>
      </c>
      <c r="D54" s="18"/>
      <c r="E54" s="64"/>
      <c r="F54" s="64"/>
      <c r="G54" s="10" t="str">
        <f t="shared" si="6"/>
        <v/>
      </c>
      <c r="H54" s="4"/>
      <c r="I54" s="4"/>
      <c r="J54" s="170" t="str">
        <f t="shared" si="0"/>
        <v/>
      </c>
      <c r="K54" s="170" t="str">
        <f t="shared" si="7"/>
        <v/>
      </c>
      <c r="L54" s="168" t="e">
        <f t="shared" si="8"/>
        <v>#N/A</v>
      </c>
      <c r="M54" s="168" t="e">
        <f t="shared" si="9"/>
        <v>#N/A</v>
      </c>
      <c r="O54" s="98" t="str">
        <f t="shared" si="1"/>
        <v/>
      </c>
      <c r="P54" s="98" t="str">
        <f t="shared" si="10"/>
        <v/>
      </c>
      <c r="Q54" s="95" t="str">
        <f t="shared" si="21"/>
        <v/>
      </c>
      <c r="R54" s="97" t="str">
        <v/>
      </c>
      <c r="S54" s="97" t="str">
        <f t="shared" si="2"/>
        <v/>
      </c>
      <c r="T54" s="95" t="str">
        <f t="shared" si="11"/>
        <v/>
      </c>
      <c r="V54" s="98" t="str">
        <f t="shared" si="3"/>
        <v/>
      </c>
      <c r="W54" s="98" t="str">
        <f t="shared" si="12"/>
        <v/>
      </c>
      <c r="X54" s="95" t="str">
        <f t="shared" si="22"/>
        <v/>
      </c>
      <c r="Y54" s="95" t="str">
        <v/>
      </c>
      <c r="Z54" s="95" t="str">
        <f t="shared" si="4"/>
        <v/>
      </c>
      <c r="AA54" s="95" t="str">
        <f t="shared" si="13"/>
        <v/>
      </c>
      <c r="AC54" s="95" t="str">
        <f t="shared" si="14"/>
        <v/>
      </c>
      <c r="AD54" s="95" t="str">
        <f t="shared" si="15"/>
        <v/>
      </c>
      <c r="AH54" s="97"/>
      <c r="AL54" s="95" t="str">
        <f t="shared" si="16"/>
        <v/>
      </c>
      <c r="AM54" s="95" t="str">
        <f t="shared" si="17"/>
        <v/>
      </c>
      <c r="AN54" s="95" t="str">
        <f t="shared" si="18"/>
        <v/>
      </c>
      <c r="AO54" s="95" t="str">
        <f t="shared" si="19"/>
        <v/>
      </c>
      <c r="AP54" s="95" t="str">
        <f t="shared" si="20"/>
        <v/>
      </c>
      <c r="AS54" s="97" t="str">
        <f t="shared" si="23"/>
        <v/>
      </c>
      <c r="AT54" s="98" t="str">
        <f t="shared" si="24"/>
        <v/>
      </c>
      <c r="AU54" s="98" t="str">
        <f t="shared" si="25"/>
        <v/>
      </c>
      <c r="AV54" s="95" t="str">
        <f>IF(AQ54="", "", IF(AQ54=$AT$6,AU54+0.221157*(1/SQRT($AT$6))-0.147981*(1/SQRT($AT$6))^2-2.07119*(1/SQRT($AT$6))^3+4.434685*(1/SQRT($AT$6))^4-2.706056*(1/SQRT($AT$6))^5, IF(AQ54=($AT$6-1),AU54+0.042981*(1/SQRT($AT$6))-0.293762*(1/SQRT($AT$6))^2-1.752461*(1/SQRT($AT$6))^3+5.682633*(1/SQRT($AT$6))^4-3.582663*(1/SQRT($AT$6))^5,AT54/SQRT(#REF!))))</f>
        <v/>
      </c>
      <c r="AW54" s="95" t="str">
        <f t="shared" si="26"/>
        <v/>
      </c>
    </row>
    <row r="55" spans="1:49" x14ac:dyDescent="0.3">
      <c r="A55" s="4"/>
      <c r="B55" s="4"/>
      <c r="C55" s="11" t="str">
        <f t="shared" si="5"/>
        <v/>
      </c>
      <c r="D55" s="18"/>
      <c r="E55" s="64"/>
      <c r="F55" s="64"/>
      <c r="G55" s="10" t="str">
        <f t="shared" si="6"/>
        <v/>
      </c>
      <c r="H55" s="4"/>
      <c r="I55" s="4"/>
      <c r="J55" s="170" t="str">
        <f t="shared" si="0"/>
        <v/>
      </c>
      <c r="K55" s="170" t="str">
        <f t="shared" si="7"/>
        <v/>
      </c>
      <c r="L55" s="168" t="e">
        <f t="shared" si="8"/>
        <v>#N/A</v>
      </c>
      <c r="M55" s="168" t="e">
        <f t="shared" si="9"/>
        <v>#N/A</v>
      </c>
      <c r="O55" s="98" t="str">
        <f t="shared" si="1"/>
        <v/>
      </c>
      <c r="P55" s="98" t="str">
        <f t="shared" si="10"/>
        <v/>
      </c>
      <c r="Q55" s="95" t="str">
        <f t="shared" si="21"/>
        <v/>
      </c>
      <c r="R55" s="97" t="str">
        <v/>
      </c>
      <c r="S55" s="97" t="str">
        <f t="shared" si="2"/>
        <v/>
      </c>
      <c r="T55" s="95" t="str">
        <f t="shared" si="11"/>
        <v/>
      </c>
      <c r="V55" s="98" t="str">
        <f t="shared" si="3"/>
        <v/>
      </c>
      <c r="W55" s="98" t="str">
        <f t="shared" si="12"/>
        <v/>
      </c>
      <c r="X55" s="95" t="str">
        <f t="shared" si="22"/>
        <v/>
      </c>
      <c r="Y55" s="95" t="str">
        <v/>
      </c>
      <c r="Z55" s="95" t="str">
        <f t="shared" si="4"/>
        <v/>
      </c>
      <c r="AA55" s="95" t="str">
        <f t="shared" si="13"/>
        <v/>
      </c>
      <c r="AC55" s="95" t="str">
        <f t="shared" si="14"/>
        <v/>
      </c>
      <c r="AD55" s="95" t="str">
        <f t="shared" si="15"/>
        <v/>
      </c>
      <c r="AH55" s="97"/>
      <c r="AL55" s="95" t="str">
        <f t="shared" si="16"/>
        <v/>
      </c>
      <c r="AM55" s="95" t="str">
        <f t="shared" si="17"/>
        <v/>
      </c>
      <c r="AN55" s="95" t="str">
        <f t="shared" si="18"/>
        <v/>
      </c>
      <c r="AO55" s="95" t="str">
        <f t="shared" si="19"/>
        <v/>
      </c>
      <c r="AP55" s="95" t="str">
        <f t="shared" si="20"/>
        <v/>
      </c>
      <c r="AS55" s="97" t="str">
        <f t="shared" si="23"/>
        <v/>
      </c>
      <c r="AT55" s="98" t="str">
        <f t="shared" si="24"/>
        <v/>
      </c>
      <c r="AU55" s="98" t="str">
        <f t="shared" si="25"/>
        <v/>
      </c>
      <c r="AV55" s="95" t="str">
        <f>IF(AQ55="", "", IF(AQ55=$AT$6,AU55+0.221157*(1/SQRT($AT$6))-0.147981*(1/SQRT($AT$6))^2-2.07119*(1/SQRT($AT$6))^3+4.434685*(1/SQRT($AT$6))^4-2.706056*(1/SQRT($AT$6))^5, IF(AQ55=($AT$6-1),AU55+0.042981*(1/SQRT($AT$6))-0.293762*(1/SQRT($AT$6))^2-1.752461*(1/SQRT($AT$6))^3+5.682633*(1/SQRT($AT$6))^4-3.582663*(1/SQRT($AT$6))^5,AT55/SQRT(#REF!))))</f>
        <v/>
      </c>
      <c r="AW55" s="95" t="str">
        <f t="shared" si="26"/>
        <v/>
      </c>
    </row>
    <row r="56" spans="1:49" x14ac:dyDescent="0.3">
      <c r="A56" s="4"/>
      <c r="B56" s="4"/>
      <c r="C56" s="11" t="str">
        <f t="shared" si="5"/>
        <v/>
      </c>
      <c r="D56" s="18"/>
      <c r="E56" s="64"/>
      <c r="F56" s="64"/>
      <c r="G56" s="10" t="str">
        <f t="shared" si="6"/>
        <v/>
      </c>
      <c r="H56" s="4"/>
      <c r="I56" s="4"/>
      <c r="J56" s="170" t="str">
        <f t="shared" si="0"/>
        <v/>
      </c>
      <c r="K56" s="170" t="str">
        <f t="shared" si="7"/>
        <v/>
      </c>
      <c r="L56" s="168" t="e">
        <f t="shared" si="8"/>
        <v>#N/A</v>
      </c>
      <c r="M56" s="168" t="e">
        <f t="shared" si="9"/>
        <v>#N/A</v>
      </c>
      <c r="O56" s="98" t="str">
        <f t="shared" si="1"/>
        <v/>
      </c>
      <c r="P56" s="98" t="str">
        <f t="shared" si="10"/>
        <v/>
      </c>
      <c r="Q56" s="95" t="str">
        <f t="shared" si="21"/>
        <v/>
      </c>
      <c r="R56" s="97" t="str">
        <v/>
      </c>
      <c r="S56" s="97" t="str">
        <f t="shared" si="2"/>
        <v/>
      </c>
      <c r="T56" s="95" t="str">
        <f t="shared" si="11"/>
        <v/>
      </c>
      <c r="V56" s="98" t="str">
        <f t="shared" si="3"/>
        <v/>
      </c>
      <c r="W56" s="98" t="str">
        <f t="shared" si="12"/>
        <v/>
      </c>
      <c r="X56" s="95" t="str">
        <f t="shared" si="22"/>
        <v/>
      </c>
      <c r="Y56" s="95" t="str">
        <v/>
      </c>
      <c r="Z56" s="95" t="str">
        <f t="shared" si="4"/>
        <v/>
      </c>
      <c r="AA56" s="95" t="str">
        <f t="shared" si="13"/>
        <v/>
      </c>
      <c r="AC56" s="95" t="str">
        <f t="shared" si="14"/>
        <v/>
      </c>
      <c r="AD56" s="95" t="str">
        <f t="shared" si="15"/>
        <v/>
      </c>
      <c r="AH56" s="97"/>
      <c r="AL56" s="95" t="str">
        <f t="shared" si="16"/>
        <v/>
      </c>
      <c r="AM56" s="95" t="str">
        <f t="shared" si="17"/>
        <v/>
      </c>
      <c r="AN56" s="95" t="str">
        <f t="shared" si="18"/>
        <v/>
      </c>
      <c r="AO56" s="95" t="str">
        <f t="shared" si="19"/>
        <v/>
      </c>
      <c r="AP56" s="95" t="str">
        <f t="shared" si="20"/>
        <v/>
      </c>
      <c r="AS56" s="97" t="str">
        <f t="shared" si="23"/>
        <v/>
      </c>
      <c r="AT56" s="98" t="str">
        <f t="shared" si="24"/>
        <v/>
      </c>
      <c r="AU56" s="98" t="str">
        <f t="shared" si="25"/>
        <v/>
      </c>
      <c r="AV56" s="95" t="str">
        <f>IF(AQ56="", "", IF(AQ56=$AT$6,AU56+0.221157*(1/SQRT($AT$6))-0.147981*(1/SQRT($AT$6))^2-2.07119*(1/SQRT($AT$6))^3+4.434685*(1/SQRT($AT$6))^4-2.706056*(1/SQRT($AT$6))^5, IF(AQ56=($AT$6-1),AU56+0.042981*(1/SQRT($AT$6))-0.293762*(1/SQRT($AT$6))^2-1.752461*(1/SQRT($AT$6))^3+5.682633*(1/SQRT($AT$6))^4-3.582663*(1/SQRT($AT$6))^5,AT56/SQRT(#REF!))))</f>
        <v/>
      </c>
      <c r="AW56" s="95" t="str">
        <f t="shared" si="26"/>
        <v/>
      </c>
    </row>
    <row r="57" spans="1:49" x14ac:dyDescent="0.3">
      <c r="A57" s="4"/>
      <c r="B57" s="4"/>
      <c r="C57" s="11" t="str">
        <f t="shared" si="5"/>
        <v/>
      </c>
      <c r="D57" s="18"/>
      <c r="E57" s="64"/>
      <c r="F57" s="64"/>
      <c r="G57" s="10" t="str">
        <f t="shared" si="6"/>
        <v/>
      </c>
      <c r="H57" s="4"/>
      <c r="I57" s="4"/>
      <c r="J57" s="170" t="str">
        <f t="shared" si="0"/>
        <v/>
      </c>
      <c r="K57" s="170" t="str">
        <f t="shared" si="7"/>
        <v/>
      </c>
      <c r="L57" s="168" t="e">
        <f t="shared" si="8"/>
        <v>#N/A</v>
      </c>
      <c r="M57" s="168" t="e">
        <f t="shared" si="9"/>
        <v>#N/A</v>
      </c>
      <c r="O57" s="98" t="str">
        <f t="shared" si="1"/>
        <v/>
      </c>
      <c r="P57" s="98" t="str">
        <f t="shared" si="10"/>
        <v/>
      </c>
      <c r="Q57" s="95" t="str">
        <f t="shared" si="21"/>
        <v/>
      </c>
      <c r="R57" s="97" t="str">
        <v/>
      </c>
      <c r="S57" s="97" t="str">
        <f t="shared" si="2"/>
        <v/>
      </c>
      <c r="T57" s="95" t="str">
        <f t="shared" si="11"/>
        <v/>
      </c>
      <c r="V57" s="98" t="str">
        <f t="shared" si="3"/>
        <v/>
      </c>
      <c r="W57" s="98" t="str">
        <f t="shared" si="12"/>
        <v/>
      </c>
      <c r="X57" s="95" t="str">
        <f t="shared" si="22"/>
        <v/>
      </c>
      <c r="Y57" s="95" t="str">
        <v/>
      </c>
      <c r="Z57" s="95" t="str">
        <f t="shared" si="4"/>
        <v/>
      </c>
      <c r="AA57" s="95" t="str">
        <f t="shared" si="13"/>
        <v/>
      </c>
      <c r="AC57" s="95" t="str">
        <f t="shared" si="14"/>
        <v/>
      </c>
      <c r="AD57" s="95" t="str">
        <f t="shared" si="15"/>
        <v/>
      </c>
      <c r="AH57" s="97"/>
      <c r="AL57" s="95" t="str">
        <f t="shared" si="16"/>
        <v/>
      </c>
      <c r="AM57" s="95" t="str">
        <f t="shared" si="17"/>
        <v/>
      </c>
      <c r="AN57" s="95" t="str">
        <f t="shared" si="18"/>
        <v/>
      </c>
      <c r="AO57" s="95" t="str">
        <f t="shared" si="19"/>
        <v/>
      </c>
      <c r="AP57" s="95" t="str">
        <f t="shared" si="20"/>
        <v/>
      </c>
      <c r="AS57" s="97" t="str">
        <f t="shared" si="23"/>
        <v/>
      </c>
      <c r="AT57" s="98" t="str">
        <f t="shared" si="24"/>
        <v/>
      </c>
      <c r="AU57" s="98" t="str">
        <f t="shared" si="25"/>
        <v/>
      </c>
      <c r="AV57" s="95" t="str">
        <f>IF(AQ57="", "", IF(AQ57=$AT$6,AU57+0.221157*(1/SQRT($AT$6))-0.147981*(1/SQRT($AT$6))^2-2.07119*(1/SQRT($AT$6))^3+4.434685*(1/SQRT($AT$6))^4-2.706056*(1/SQRT($AT$6))^5, IF(AQ57=($AT$6-1),AU57+0.042981*(1/SQRT($AT$6))-0.293762*(1/SQRT($AT$6))^2-1.752461*(1/SQRT($AT$6))^3+5.682633*(1/SQRT($AT$6))^4-3.582663*(1/SQRT($AT$6))^5,AT57/SQRT(#REF!))))</f>
        <v/>
      </c>
      <c r="AW57" s="95" t="str">
        <f t="shared" si="26"/>
        <v/>
      </c>
    </row>
    <row r="58" spans="1:49" x14ac:dyDescent="0.3">
      <c r="A58" s="4"/>
      <c r="B58" s="4"/>
      <c r="C58" s="11" t="str">
        <f t="shared" si="5"/>
        <v/>
      </c>
      <c r="D58" s="18"/>
      <c r="E58" s="64"/>
      <c r="F58" s="64"/>
      <c r="G58" s="10" t="str">
        <f t="shared" si="6"/>
        <v/>
      </c>
      <c r="H58" s="4"/>
      <c r="I58" s="4"/>
      <c r="J58" s="170" t="str">
        <f t="shared" si="0"/>
        <v/>
      </c>
      <c r="K58" s="170" t="str">
        <f t="shared" si="7"/>
        <v/>
      </c>
      <c r="L58" s="168" t="e">
        <f t="shared" si="8"/>
        <v>#N/A</v>
      </c>
      <c r="M58" s="168" t="e">
        <f t="shared" si="9"/>
        <v>#N/A</v>
      </c>
      <c r="O58" s="98" t="str">
        <f t="shared" si="1"/>
        <v/>
      </c>
      <c r="P58" s="98" t="str">
        <f t="shared" si="10"/>
        <v/>
      </c>
      <c r="Q58" s="95" t="str">
        <f t="shared" si="21"/>
        <v/>
      </c>
      <c r="R58" s="97" t="str">
        <v/>
      </c>
      <c r="S58" s="97" t="str">
        <f t="shared" si="2"/>
        <v/>
      </c>
      <c r="T58" s="95" t="str">
        <f t="shared" si="11"/>
        <v/>
      </c>
      <c r="V58" s="98" t="str">
        <f t="shared" si="3"/>
        <v/>
      </c>
      <c r="W58" s="98" t="str">
        <f t="shared" si="12"/>
        <v/>
      </c>
      <c r="X58" s="95" t="str">
        <f t="shared" si="22"/>
        <v/>
      </c>
      <c r="Y58" s="95" t="str">
        <v/>
      </c>
      <c r="Z58" s="95" t="str">
        <f t="shared" si="4"/>
        <v/>
      </c>
      <c r="AA58" s="95" t="str">
        <f t="shared" si="13"/>
        <v/>
      </c>
      <c r="AC58" s="95" t="str">
        <f t="shared" si="14"/>
        <v/>
      </c>
      <c r="AD58" s="95" t="str">
        <f t="shared" si="15"/>
        <v/>
      </c>
      <c r="AH58" s="97"/>
      <c r="AL58" s="95" t="str">
        <f t="shared" si="16"/>
        <v/>
      </c>
      <c r="AM58" s="95" t="str">
        <f t="shared" si="17"/>
        <v/>
      </c>
      <c r="AN58" s="95" t="str">
        <f t="shared" si="18"/>
        <v/>
      </c>
      <c r="AO58" s="95" t="str">
        <f t="shared" si="19"/>
        <v/>
      </c>
      <c r="AP58" s="95" t="str">
        <f t="shared" si="20"/>
        <v/>
      </c>
      <c r="AS58" s="97" t="str">
        <f t="shared" si="23"/>
        <v/>
      </c>
      <c r="AT58" s="98" t="str">
        <f t="shared" si="24"/>
        <v/>
      </c>
      <c r="AU58" s="98" t="str">
        <f t="shared" si="25"/>
        <v/>
      </c>
      <c r="AV58" s="95" t="str">
        <f>IF(AQ58="", "", IF(AQ58=$AT$6,AU58+0.221157*(1/SQRT($AT$6))-0.147981*(1/SQRT($AT$6))^2-2.07119*(1/SQRT($AT$6))^3+4.434685*(1/SQRT($AT$6))^4-2.706056*(1/SQRT($AT$6))^5, IF(AQ58=($AT$6-1),AU58+0.042981*(1/SQRT($AT$6))-0.293762*(1/SQRT($AT$6))^2-1.752461*(1/SQRT($AT$6))^3+5.682633*(1/SQRT($AT$6))^4-3.582663*(1/SQRT($AT$6))^5,AT58/SQRT(#REF!))))</f>
        <v/>
      </c>
      <c r="AW58" s="95" t="str">
        <f t="shared" si="26"/>
        <v/>
      </c>
    </row>
    <row r="59" spans="1:49" x14ac:dyDescent="0.3">
      <c r="A59" s="4"/>
      <c r="B59" s="4"/>
      <c r="C59" s="11" t="str">
        <f t="shared" si="5"/>
        <v/>
      </c>
      <c r="D59" s="18"/>
      <c r="E59" s="64"/>
      <c r="F59" s="64"/>
      <c r="G59" s="10" t="str">
        <f t="shared" si="6"/>
        <v/>
      </c>
      <c r="H59" s="4"/>
      <c r="I59" s="4"/>
      <c r="J59" s="170" t="str">
        <f t="shared" si="0"/>
        <v/>
      </c>
      <c r="K59" s="170" t="str">
        <f t="shared" si="7"/>
        <v/>
      </c>
      <c r="L59" s="168" t="e">
        <f t="shared" si="8"/>
        <v>#N/A</v>
      </c>
      <c r="M59" s="168" t="e">
        <f t="shared" si="9"/>
        <v>#N/A</v>
      </c>
      <c r="O59" s="98" t="str">
        <f t="shared" si="1"/>
        <v/>
      </c>
      <c r="P59" s="98" t="str">
        <f t="shared" si="10"/>
        <v/>
      </c>
      <c r="Q59" s="95" t="str">
        <f t="shared" si="21"/>
        <v/>
      </c>
      <c r="R59" s="97" t="str">
        <v/>
      </c>
      <c r="S59" s="97" t="str">
        <f t="shared" si="2"/>
        <v/>
      </c>
      <c r="T59" s="95" t="str">
        <f t="shared" si="11"/>
        <v/>
      </c>
      <c r="V59" s="98" t="str">
        <f t="shared" si="3"/>
        <v/>
      </c>
      <c r="W59" s="98" t="str">
        <f t="shared" si="12"/>
        <v/>
      </c>
      <c r="X59" s="95" t="str">
        <f t="shared" si="22"/>
        <v/>
      </c>
      <c r="Y59" s="95" t="str">
        <v/>
      </c>
      <c r="Z59" s="95" t="str">
        <f t="shared" si="4"/>
        <v/>
      </c>
      <c r="AA59" s="95" t="str">
        <f t="shared" si="13"/>
        <v/>
      </c>
      <c r="AC59" s="95" t="str">
        <f t="shared" si="14"/>
        <v/>
      </c>
      <c r="AD59" s="95" t="str">
        <f t="shared" si="15"/>
        <v/>
      </c>
      <c r="AH59" s="97"/>
      <c r="AL59" s="95" t="str">
        <f t="shared" si="16"/>
        <v/>
      </c>
      <c r="AM59" s="95" t="str">
        <f t="shared" si="17"/>
        <v/>
      </c>
      <c r="AN59" s="95" t="str">
        <f t="shared" si="18"/>
        <v/>
      </c>
      <c r="AO59" s="95" t="str">
        <f t="shared" si="19"/>
        <v/>
      </c>
      <c r="AP59" s="95" t="str">
        <f t="shared" si="20"/>
        <v/>
      </c>
      <c r="AS59" s="97" t="str">
        <f t="shared" si="23"/>
        <v/>
      </c>
      <c r="AT59" s="98" t="str">
        <f t="shared" si="24"/>
        <v/>
      </c>
      <c r="AU59" s="98" t="str">
        <f t="shared" si="25"/>
        <v/>
      </c>
      <c r="AV59" s="95" t="str">
        <f>IF(AQ59="", "", IF(AQ59=$AT$6,AU59+0.221157*(1/SQRT($AT$6))-0.147981*(1/SQRT($AT$6))^2-2.07119*(1/SQRT($AT$6))^3+4.434685*(1/SQRT($AT$6))^4-2.706056*(1/SQRT($AT$6))^5, IF(AQ59=($AT$6-1),AU59+0.042981*(1/SQRT($AT$6))-0.293762*(1/SQRT($AT$6))^2-1.752461*(1/SQRT($AT$6))^3+5.682633*(1/SQRT($AT$6))^4-3.582663*(1/SQRT($AT$6))^5,AT59/SQRT(#REF!))))</f>
        <v/>
      </c>
      <c r="AW59" s="95" t="str">
        <f t="shared" si="26"/>
        <v/>
      </c>
    </row>
    <row r="60" spans="1:49" x14ac:dyDescent="0.3">
      <c r="A60" s="4"/>
      <c r="B60" s="4"/>
      <c r="C60" s="11" t="str">
        <f t="shared" si="5"/>
        <v/>
      </c>
      <c r="D60" s="18"/>
      <c r="E60" s="64"/>
      <c r="F60" s="64"/>
      <c r="G60" s="10" t="str">
        <f t="shared" si="6"/>
        <v/>
      </c>
      <c r="H60" s="4"/>
      <c r="I60" s="4"/>
      <c r="J60" s="170" t="str">
        <f t="shared" si="0"/>
        <v/>
      </c>
      <c r="K60" s="170" t="str">
        <f t="shared" si="7"/>
        <v/>
      </c>
      <c r="L60" s="168" t="e">
        <f t="shared" si="8"/>
        <v>#N/A</v>
      </c>
      <c r="M60" s="168" t="e">
        <f t="shared" si="9"/>
        <v>#N/A</v>
      </c>
      <c r="O60" s="98" t="str">
        <f t="shared" si="1"/>
        <v/>
      </c>
      <c r="P60" s="98" t="str">
        <f t="shared" si="10"/>
        <v/>
      </c>
      <c r="Q60" s="95" t="str">
        <f t="shared" si="21"/>
        <v/>
      </c>
      <c r="R60" s="97" t="str">
        <v/>
      </c>
      <c r="S60" s="97" t="str">
        <f t="shared" si="2"/>
        <v/>
      </c>
      <c r="T60" s="95" t="str">
        <f t="shared" si="11"/>
        <v/>
      </c>
      <c r="V60" s="98" t="str">
        <f t="shared" si="3"/>
        <v/>
      </c>
      <c r="W60" s="98" t="str">
        <f t="shared" si="12"/>
        <v/>
      </c>
      <c r="X60" s="95" t="str">
        <f t="shared" si="22"/>
        <v/>
      </c>
      <c r="Y60" s="95" t="str">
        <v/>
      </c>
      <c r="Z60" s="95" t="str">
        <f t="shared" si="4"/>
        <v/>
      </c>
      <c r="AA60" s="95" t="str">
        <f t="shared" si="13"/>
        <v/>
      </c>
      <c r="AC60" s="95" t="str">
        <f t="shared" si="14"/>
        <v/>
      </c>
      <c r="AD60" s="95" t="str">
        <f t="shared" si="15"/>
        <v/>
      </c>
      <c r="AH60" s="97"/>
      <c r="AL60" s="95" t="str">
        <f t="shared" si="16"/>
        <v/>
      </c>
      <c r="AM60" s="95" t="str">
        <f t="shared" si="17"/>
        <v/>
      </c>
      <c r="AN60" s="95" t="str">
        <f t="shared" si="18"/>
        <v/>
      </c>
      <c r="AO60" s="95" t="str">
        <f t="shared" si="19"/>
        <v/>
      </c>
      <c r="AP60" s="95" t="str">
        <f t="shared" si="20"/>
        <v/>
      </c>
      <c r="AS60" s="97" t="str">
        <f t="shared" si="23"/>
        <v/>
      </c>
      <c r="AT60" s="98" t="str">
        <f t="shared" si="24"/>
        <v/>
      </c>
      <c r="AU60" s="98" t="str">
        <f t="shared" si="25"/>
        <v/>
      </c>
      <c r="AV60" s="95" t="str">
        <f>IF(AQ60="", "", IF(AQ60=$AT$6,AU60+0.221157*(1/SQRT($AT$6))-0.147981*(1/SQRT($AT$6))^2-2.07119*(1/SQRT($AT$6))^3+4.434685*(1/SQRT($AT$6))^4-2.706056*(1/SQRT($AT$6))^5, IF(AQ60=($AT$6-1),AU60+0.042981*(1/SQRT($AT$6))-0.293762*(1/SQRT($AT$6))^2-1.752461*(1/SQRT($AT$6))^3+5.682633*(1/SQRT($AT$6))^4-3.582663*(1/SQRT($AT$6))^5,AT60/SQRT(#REF!))))</f>
        <v/>
      </c>
      <c r="AW60" s="95" t="str">
        <f t="shared" si="26"/>
        <v/>
      </c>
    </row>
    <row r="61" spans="1:49" x14ac:dyDescent="0.3">
      <c r="A61" s="4"/>
      <c r="B61" s="4"/>
      <c r="C61" s="11" t="str">
        <f t="shared" si="5"/>
        <v/>
      </c>
      <c r="D61" s="18"/>
      <c r="E61" s="64"/>
      <c r="F61" s="64"/>
      <c r="G61" s="10" t="str">
        <f t="shared" si="6"/>
        <v/>
      </c>
      <c r="H61" s="4"/>
      <c r="I61" s="4"/>
      <c r="J61" s="170" t="str">
        <f t="shared" si="0"/>
        <v/>
      </c>
      <c r="K61" s="170" t="str">
        <f t="shared" si="7"/>
        <v/>
      </c>
      <c r="L61" s="168" t="e">
        <f t="shared" si="8"/>
        <v>#N/A</v>
      </c>
      <c r="M61" s="168" t="e">
        <f t="shared" si="9"/>
        <v>#N/A</v>
      </c>
      <c r="O61" s="98" t="str">
        <f t="shared" si="1"/>
        <v/>
      </c>
      <c r="P61" s="98" t="str">
        <f t="shared" si="10"/>
        <v/>
      </c>
      <c r="Q61" s="95" t="str">
        <f t="shared" si="21"/>
        <v/>
      </c>
      <c r="R61" s="97" t="str">
        <v/>
      </c>
      <c r="S61" s="97" t="str">
        <f t="shared" si="2"/>
        <v/>
      </c>
      <c r="T61" s="95" t="str">
        <f t="shared" si="11"/>
        <v/>
      </c>
      <c r="V61" s="98" t="str">
        <f t="shared" si="3"/>
        <v/>
      </c>
      <c r="W61" s="98" t="str">
        <f t="shared" si="12"/>
        <v/>
      </c>
      <c r="X61" s="95" t="str">
        <f t="shared" si="22"/>
        <v/>
      </c>
      <c r="Y61" s="95" t="str">
        <v/>
      </c>
      <c r="Z61" s="95" t="str">
        <f t="shared" si="4"/>
        <v/>
      </c>
      <c r="AA61" s="95" t="str">
        <f t="shared" si="13"/>
        <v/>
      </c>
      <c r="AC61" s="95" t="str">
        <f t="shared" si="14"/>
        <v/>
      </c>
      <c r="AD61" s="95" t="str">
        <f t="shared" si="15"/>
        <v/>
      </c>
      <c r="AH61" s="97"/>
      <c r="AL61" s="95" t="str">
        <f t="shared" si="16"/>
        <v/>
      </c>
      <c r="AM61" s="95" t="str">
        <f t="shared" si="17"/>
        <v/>
      </c>
      <c r="AN61" s="95" t="str">
        <f t="shared" si="18"/>
        <v/>
      </c>
      <c r="AO61" s="95" t="str">
        <f t="shared" si="19"/>
        <v/>
      </c>
      <c r="AP61" s="95" t="str">
        <f t="shared" si="20"/>
        <v/>
      </c>
      <c r="AS61" s="97" t="str">
        <f t="shared" si="23"/>
        <v/>
      </c>
      <c r="AT61" s="98" t="str">
        <f t="shared" si="24"/>
        <v/>
      </c>
      <c r="AU61" s="98" t="str">
        <f t="shared" si="25"/>
        <v/>
      </c>
      <c r="AV61" s="95" t="str">
        <f>IF(AQ61="", "", IF(AQ61=$AT$6,AU61+0.221157*(1/SQRT($AT$6))-0.147981*(1/SQRT($AT$6))^2-2.07119*(1/SQRT($AT$6))^3+4.434685*(1/SQRT($AT$6))^4-2.706056*(1/SQRT($AT$6))^5, IF(AQ61=($AT$6-1),AU61+0.042981*(1/SQRT($AT$6))-0.293762*(1/SQRT($AT$6))^2-1.752461*(1/SQRT($AT$6))^3+5.682633*(1/SQRT($AT$6))^4-3.582663*(1/SQRT($AT$6))^5,AT61/SQRT(#REF!))))</f>
        <v/>
      </c>
      <c r="AW61" s="95" t="str">
        <f t="shared" si="26"/>
        <v/>
      </c>
    </row>
    <row r="62" spans="1:49" x14ac:dyDescent="0.3">
      <c r="A62" s="4"/>
      <c r="B62" s="4"/>
      <c r="C62" s="11" t="str">
        <f t="shared" si="5"/>
        <v/>
      </c>
      <c r="D62" s="18"/>
      <c r="E62" s="64"/>
      <c r="F62" s="64"/>
      <c r="G62" s="10" t="str">
        <f t="shared" si="6"/>
        <v/>
      </c>
      <c r="H62" s="4"/>
      <c r="I62" s="4"/>
      <c r="J62" s="170" t="str">
        <f t="shared" si="0"/>
        <v/>
      </c>
      <c r="K62" s="170" t="str">
        <f t="shared" si="7"/>
        <v/>
      </c>
      <c r="L62" s="168" t="e">
        <f t="shared" si="8"/>
        <v>#N/A</v>
      </c>
      <c r="M62" s="168" t="e">
        <f t="shared" si="9"/>
        <v>#N/A</v>
      </c>
      <c r="O62" s="98" t="str">
        <f t="shared" si="1"/>
        <v/>
      </c>
      <c r="P62" s="98" t="str">
        <f t="shared" si="10"/>
        <v/>
      </c>
      <c r="Q62" s="95" t="str">
        <f t="shared" si="21"/>
        <v/>
      </c>
      <c r="R62" s="97" t="str">
        <v/>
      </c>
      <c r="S62" s="97" t="str">
        <f t="shared" si="2"/>
        <v/>
      </c>
      <c r="T62" s="95" t="str">
        <f t="shared" si="11"/>
        <v/>
      </c>
      <c r="V62" s="98" t="str">
        <f t="shared" si="3"/>
        <v/>
      </c>
      <c r="W62" s="98" t="str">
        <f t="shared" si="12"/>
        <v/>
      </c>
      <c r="X62" s="95" t="str">
        <f t="shared" si="22"/>
        <v/>
      </c>
      <c r="Y62" s="95" t="str">
        <v/>
      </c>
      <c r="Z62" s="95" t="str">
        <f t="shared" si="4"/>
        <v/>
      </c>
      <c r="AA62" s="95" t="str">
        <f t="shared" si="13"/>
        <v/>
      </c>
      <c r="AC62" s="95" t="str">
        <f t="shared" si="14"/>
        <v/>
      </c>
      <c r="AD62" s="95" t="str">
        <f t="shared" si="15"/>
        <v/>
      </c>
      <c r="AH62" s="97"/>
      <c r="AL62" s="95" t="str">
        <f t="shared" si="16"/>
        <v/>
      </c>
      <c r="AM62" s="95" t="str">
        <f t="shared" si="17"/>
        <v/>
      </c>
      <c r="AN62" s="95" t="str">
        <f t="shared" si="18"/>
        <v/>
      </c>
      <c r="AO62" s="95" t="str">
        <f t="shared" si="19"/>
        <v/>
      </c>
      <c r="AP62" s="95" t="str">
        <f t="shared" si="20"/>
        <v/>
      </c>
      <c r="AS62" s="97" t="str">
        <f t="shared" si="23"/>
        <v/>
      </c>
      <c r="AT62" s="98" t="str">
        <f t="shared" si="24"/>
        <v/>
      </c>
      <c r="AU62" s="98" t="str">
        <f t="shared" si="25"/>
        <v/>
      </c>
      <c r="AV62" s="95" t="str">
        <f>IF(AQ62="", "", IF(AQ62=$AT$6,AU62+0.221157*(1/SQRT($AT$6))-0.147981*(1/SQRT($AT$6))^2-2.07119*(1/SQRT($AT$6))^3+4.434685*(1/SQRT($AT$6))^4-2.706056*(1/SQRT($AT$6))^5, IF(AQ62=($AT$6-1),AU62+0.042981*(1/SQRT($AT$6))-0.293762*(1/SQRT($AT$6))^2-1.752461*(1/SQRT($AT$6))^3+5.682633*(1/SQRT($AT$6))^4-3.582663*(1/SQRT($AT$6))^5,AT62/SQRT(#REF!))))</f>
        <v/>
      </c>
      <c r="AW62" s="95" t="str">
        <f t="shared" si="26"/>
        <v/>
      </c>
    </row>
    <row r="63" spans="1:49" x14ac:dyDescent="0.3">
      <c r="A63" s="4"/>
      <c r="B63" s="4"/>
      <c r="C63" s="11" t="str">
        <f t="shared" si="5"/>
        <v/>
      </c>
      <c r="D63" s="18"/>
      <c r="E63" s="64"/>
      <c r="F63" s="64"/>
      <c r="G63" s="10" t="str">
        <f t="shared" si="6"/>
        <v/>
      </c>
      <c r="H63" s="4"/>
      <c r="I63" s="4"/>
      <c r="J63" s="170" t="str">
        <f t="shared" si="0"/>
        <v/>
      </c>
      <c r="K63" s="170" t="str">
        <f t="shared" si="7"/>
        <v/>
      </c>
      <c r="L63" s="168" t="e">
        <f t="shared" si="8"/>
        <v>#N/A</v>
      </c>
      <c r="M63" s="168" t="e">
        <f t="shared" si="9"/>
        <v>#N/A</v>
      </c>
      <c r="O63" s="98" t="str">
        <f t="shared" si="1"/>
        <v/>
      </c>
      <c r="P63" s="98" t="str">
        <f t="shared" si="10"/>
        <v/>
      </c>
      <c r="Q63" s="95" t="str">
        <f t="shared" si="21"/>
        <v/>
      </c>
      <c r="R63" s="97" t="str">
        <v/>
      </c>
      <c r="S63" s="97" t="str">
        <f t="shared" si="2"/>
        <v/>
      </c>
      <c r="T63" s="95" t="str">
        <f t="shared" si="11"/>
        <v/>
      </c>
      <c r="V63" s="98" t="str">
        <f t="shared" si="3"/>
        <v/>
      </c>
      <c r="W63" s="98" t="str">
        <f t="shared" si="12"/>
        <v/>
      </c>
      <c r="X63" s="95" t="str">
        <f t="shared" si="22"/>
        <v/>
      </c>
      <c r="Y63" s="95" t="str">
        <v/>
      </c>
      <c r="Z63" s="95" t="str">
        <f t="shared" si="4"/>
        <v/>
      </c>
      <c r="AA63" s="95" t="str">
        <f t="shared" si="13"/>
        <v/>
      </c>
      <c r="AC63" s="95" t="str">
        <f t="shared" si="14"/>
        <v/>
      </c>
      <c r="AD63" s="95" t="str">
        <f t="shared" si="15"/>
        <v/>
      </c>
      <c r="AH63" s="97"/>
      <c r="AL63" s="95" t="str">
        <f t="shared" si="16"/>
        <v/>
      </c>
      <c r="AM63" s="95" t="str">
        <f t="shared" si="17"/>
        <v/>
      </c>
      <c r="AN63" s="95" t="str">
        <f t="shared" si="18"/>
        <v/>
      </c>
      <c r="AO63" s="95" t="str">
        <f t="shared" si="19"/>
        <v/>
      </c>
      <c r="AP63" s="95" t="str">
        <f t="shared" si="20"/>
        <v/>
      </c>
      <c r="AS63" s="97" t="str">
        <f t="shared" si="23"/>
        <v/>
      </c>
      <c r="AT63" s="98" t="str">
        <f t="shared" si="24"/>
        <v/>
      </c>
      <c r="AU63" s="98" t="str">
        <f t="shared" si="25"/>
        <v/>
      </c>
      <c r="AV63" s="95" t="str">
        <f>IF(AQ63="", "", IF(AQ63=$AT$6,AU63+0.221157*(1/SQRT($AT$6))-0.147981*(1/SQRT($AT$6))^2-2.07119*(1/SQRT($AT$6))^3+4.434685*(1/SQRT($AT$6))^4-2.706056*(1/SQRT($AT$6))^5, IF(AQ63=($AT$6-1),AU63+0.042981*(1/SQRT($AT$6))-0.293762*(1/SQRT($AT$6))^2-1.752461*(1/SQRT($AT$6))^3+5.682633*(1/SQRT($AT$6))^4-3.582663*(1/SQRT($AT$6))^5,AT63/SQRT(#REF!))))</f>
        <v/>
      </c>
      <c r="AW63" s="95" t="str">
        <f t="shared" si="26"/>
        <v/>
      </c>
    </row>
    <row r="64" spans="1:49" x14ac:dyDescent="0.3">
      <c r="A64" s="4"/>
      <c r="B64" s="4"/>
      <c r="C64" s="11" t="str">
        <f t="shared" si="5"/>
        <v/>
      </c>
      <c r="D64" s="18"/>
      <c r="E64" s="64"/>
      <c r="F64" s="64"/>
      <c r="G64" s="10" t="str">
        <f t="shared" si="6"/>
        <v/>
      </c>
      <c r="H64" s="4"/>
      <c r="I64" s="4"/>
      <c r="J64" s="170" t="str">
        <f t="shared" si="0"/>
        <v/>
      </c>
      <c r="K64" s="170" t="str">
        <f t="shared" si="7"/>
        <v/>
      </c>
      <c r="L64" s="168" t="e">
        <f t="shared" si="8"/>
        <v>#N/A</v>
      </c>
      <c r="M64" s="168" t="e">
        <f t="shared" si="9"/>
        <v>#N/A</v>
      </c>
      <c r="O64" s="98" t="str">
        <f t="shared" si="1"/>
        <v/>
      </c>
      <c r="P64" s="98" t="str">
        <f t="shared" si="10"/>
        <v/>
      </c>
      <c r="Q64" s="95" t="str">
        <f t="shared" si="21"/>
        <v/>
      </c>
      <c r="R64" s="97" t="str">
        <v/>
      </c>
      <c r="S64" s="97" t="str">
        <f t="shared" si="2"/>
        <v/>
      </c>
      <c r="T64" s="95" t="str">
        <f t="shared" si="11"/>
        <v/>
      </c>
      <c r="V64" s="98" t="str">
        <f t="shared" si="3"/>
        <v/>
      </c>
      <c r="W64" s="98" t="str">
        <f t="shared" si="12"/>
        <v/>
      </c>
      <c r="X64" s="95" t="str">
        <f t="shared" si="22"/>
        <v/>
      </c>
      <c r="Y64" s="95" t="str">
        <v/>
      </c>
      <c r="Z64" s="95" t="str">
        <f t="shared" si="4"/>
        <v/>
      </c>
      <c r="AA64" s="95" t="str">
        <f t="shared" si="13"/>
        <v/>
      </c>
      <c r="AC64" s="95" t="str">
        <f t="shared" si="14"/>
        <v/>
      </c>
      <c r="AD64" s="95" t="str">
        <f t="shared" si="15"/>
        <v/>
      </c>
      <c r="AH64" s="97"/>
      <c r="AL64" s="95" t="str">
        <f t="shared" si="16"/>
        <v/>
      </c>
      <c r="AM64" s="95" t="str">
        <f t="shared" si="17"/>
        <v/>
      </c>
      <c r="AN64" s="95" t="str">
        <f t="shared" si="18"/>
        <v/>
      </c>
      <c r="AO64" s="95" t="str">
        <f t="shared" si="19"/>
        <v/>
      </c>
      <c r="AP64" s="95" t="str">
        <f t="shared" si="20"/>
        <v/>
      </c>
      <c r="AS64" s="97" t="str">
        <f t="shared" si="23"/>
        <v/>
      </c>
      <c r="AT64" s="98" t="str">
        <f t="shared" si="24"/>
        <v/>
      </c>
      <c r="AU64" s="98" t="str">
        <f t="shared" si="25"/>
        <v/>
      </c>
      <c r="AV64" s="95" t="str">
        <f>IF(AQ64="", "", IF(AQ64=$AT$6,AU64+0.221157*(1/SQRT($AT$6))-0.147981*(1/SQRT($AT$6))^2-2.07119*(1/SQRT($AT$6))^3+4.434685*(1/SQRT($AT$6))^4-2.706056*(1/SQRT($AT$6))^5, IF(AQ64=($AT$6-1),AU64+0.042981*(1/SQRT($AT$6))-0.293762*(1/SQRT($AT$6))^2-1.752461*(1/SQRT($AT$6))^3+5.682633*(1/SQRT($AT$6))^4-3.582663*(1/SQRT($AT$6))^5,AT64/SQRT(#REF!))))</f>
        <v/>
      </c>
      <c r="AW64" s="95" t="str">
        <f t="shared" si="26"/>
        <v/>
      </c>
    </row>
    <row r="65" spans="1:49" x14ac:dyDescent="0.3">
      <c r="A65" s="4"/>
      <c r="B65" s="4"/>
      <c r="C65" s="11" t="str">
        <f t="shared" si="5"/>
        <v/>
      </c>
      <c r="D65" s="18"/>
      <c r="E65" s="64"/>
      <c r="F65" s="64"/>
      <c r="G65" s="10" t="str">
        <f t="shared" si="6"/>
        <v/>
      </c>
      <c r="H65" s="4"/>
      <c r="I65" s="4"/>
      <c r="J65" s="170" t="str">
        <f t="shared" si="0"/>
        <v/>
      </c>
      <c r="K65" s="170" t="str">
        <f t="shared" si="7"/>
        <v/>
      </c>
      <c r="L65" s="168" t="e">
        <f t="shared" si="8"/>
        <v>#N/A</v>
      </c>
      <c r="M65" s="168" t="e">
        <f t="shared" si="9"/>
        <v>#N/A</v>
      </c>
      <c r="O65" s="98" t="str">
        <f t="shared" si="1"/>
        <v/>
      </c>
      <c r="P65" s="98" t="str">
        <f t="shared" si="10"/>
        <v/>
      </c>
      <c r="Q65" s="95" t="str">
        <f t="shared" si="21"/>
        <v/>
      </c>
      <c r="R65" s="97" t="str">
        <v/>
      </c>
      <c r="S65" s="97" t="str">
        <f t="shared" si="2"/>
        <v/>
      </c>
      <c r="T65" s="95" t="str">
        <f t="shared" si="11"/>
        <v/>
      </c>
      <c r="V65" s="98" t="str">
        <f t="shared" si="3"/>
        <v/>
      </c>
      <c r="W65" s="98" t="str">
        <f t="shared" si="12"/>
        <v/>
      </c>
      <c r="X65" s="95" t="str">
        <f t="shared" si="22"/>
        <v/>
      </c>
      <c r="Y65" s="95" t="str">
        <v/>
      </c>
      <c r="Z65" s="95" t="str">
        <f t="shared" si="4"/>
        <v/>
      </c>
      <c r="AA65" s="95" t="str">
        <f t="shared" si="13"/>
        <v/>
      </c>
      <c r="AC65" s="95" t="str">
        <f t="shared" si="14"/>
        <v/>
      </c>
      <c r="AD65" s="95" t="str">
        <f t="shared" si="15"/>
        <v/>
      </c>
      <c r="AH65" s="97"/>
      <c r="AL65" s="95" t="str">
        <f t="shared" si="16"/>
        <v/>
      </c>
      <c r="AM65" s="95" t="str">
        <f t="shared" si="17"/>
        <v/>
      </c>
      <c r="AN65" s="95" t="str">
        <f t="shared" si="18"/>
        <v/>
      </c>
      <c r="AO65" s="95" t="str">
        <f t="shared" si="19"/>
        <v/>
      </c>
      <c r="AP65" s="95" t="str">
        <f t="shared" si="20"/>
        <v/>
      </c>
      <c r="AS65" s="97" t="str">
        <f t="shared" si="23"/>
        <v/>
      </c>
      <c r="AT65" s="98" t="str">
        <f t="shared" si="24"/>
        <v/>
      </c>
      <c r="AU65" s="98" t="str">
        <f t="shared" si="25"/>
        <v/>
      </c>
      <c r="AV65" s="95" t="str">
        <f>IF(AQ65="", "", IF(AQ65=$AT$6,AU65+0.221157*(1/SQRT($AT$6))-0.147981*(1/SQRT($AT$6))^2-2.07119*(1/SQRT($AT$6))^3+4.434685*(1/SQRT($AT$6))^4-2.706056*(1/SQRT($AT$6))^5, IF(AQ65=($AT$6-1),AU65+0.042981*(1/SQRT($AT$6))-0.293762*(1/SQRT($AT$6))^2-1.752461*(1/SQRT($AT$6))^3+5.682633*(1/SQRT($AT$6))^4-3.582663*(1/SQRT($AT$6))^5,AT65/SQRT(#REF!))))</f>
        <v/>
      </c>
      <c r="AW65" s="95" t="str">
        <f t="shared" si="26"/>
        <v/>
      </c>
    </row>
    <row r="66" spans="1:49" x14ac:dyDescent="0.3">
      <c r="A66" s="4"/>
      <c r="B66" s="4"/>
      <c r="C66" s="11" t="str">
        <f t="shared" si="5"/>
        <v/>
      </c>
      <c r="D66" s="18"/>
      <c r="E66" s="64"/>
      <c r="F66" s="64"/>
      <c r="G66" s="10" t="str">
        <f t="shared" si="6"/>
        <v/>
      </c>
      <c r="H66" s="4"/>
      <c r="I66" s="4"/>
      <c r="J66" s="170" t="str">
        <f t="shared" si="0"/>
        <v/>
      </c>
      <c r="K66" s="170" t="str">
        <f t="shared" si="7"/>
        <v/>
      </c>
      <c r="L66" s="168" t="e">
        <f t="shared" si="8"/>
        <v>#N/A</v>
      </c>
      <c r="M66" s="168" t="e">
        <f t="shared" si="9"/>
        <v>#N/A</v>
      </c>
      <c r="O66" s="98" t="str">
        <f t="shared" si="1"/>
        <v/>
      </c>
      <c r="P66" s="98" t="str">
        <f t="shared" si="10"/>
        <v/>
      </c>
      <c r="Q66" s="95" t="str">
        <f t="shared" si="21"/>
        <v/>
      </c>
      <c r="R66" s="97" t="str">
        <v/>
      </c>
      <c r="S66" s="97" t="str">
        <f t="shared" si="2"/>
        <v/>
      </c>
      <c r="T66" s="95" t="str">
        <f t="shared" si="11"/>
        <v/>
      </c>
      <c r="V66" s="98" t="str">
        <f t="shared" si="3"/>
        <v/>
      </c>
      <c r="W66" s="98" t="str">
        <f t="shared" si="12"/>
        <v/>
      </c>
      <c r="X66" s="95" t="str">
        <f t="shared" si="22"/>
        <v/>
      </c>
      <c r="Y66" s="95" t="str">
        <v/>
      </c>
      <c r="Z66" s="95" t="str">
        <f t="shared" si="4"/>
        <v/>
      </c>
      <c r="AA66" s="95" t="str">
        <f t="shared" si="13"/>
        <v/>
      </c>
      <c r="AC66" s="95" t="str">
        <f t="shared" si="14"/>
        <v/>
      </c>
      <c r="AD66" s="95" t="str">
        <f t="shared" si="15"/>
        <v/>
      </c>
      <c r="AH66" s="97"/>
      <c r="AL66" s="95" t="str">
        <f t="shared" si="16"/>
        <v/>
      </c>
      <c r="AM66" s="95" t="str">
        <f t="shared" si="17"/>
        <v/>
      </c>
      <c r="AN66" s="95" t="str">
        <f t="shared" si="18"/>
        <v/>
      </c>
      <c r="AO66" s="95" t="str">
        <f t="shared" si="19"/>
        <v/>
      </c>
      <c r="AP66" s="95" t="str">
        <f t="shared" si="20"/>
        <v/>
      </c>
      <c r="AS66" s="97" t="str">
        <f t="shared" si="23"/>
        <v/>
      </c>
      <c r="AT66" s="98" t="str">
        <f t="shared" si="24"/>
        <v/>
      </c>
      <c r="AU66" s="98" t="str">
        <f t="shared" si="25"/>
        <v/>
      </c>
      <c r="AV66" s="95" t="str">
        <f>IF(AQ66="", "", IF(AQ66=$AT$6,AU66+0.221157*(1/SQRT($AT$6))-0.147981*(1/SQRT($AT$6))^2-2.07119*(1/SQRT($AT$6))^3+4.434685*(1/SQRT($AT$6))^4-2.706056*(1/SQRT($AT$6))^5, IF(AQ66=($AT$6-1),AU66+0.042981*(1/SQRT($AT$6))-0.293762*(1/SQRT($AT$6))^2-1.752461*(1/SQRT($AT$6))^3+5.682633*(1/SQRT($AT$6))^4-3.582663*(1/SQRT($AT$6))^5,AT66/SQRT(#REF!))))</f>
        <v/>
      </c>
      <c r="AW66" s="95" t="str">
        <f t="shared" si="26"/>
        <v/>
      </c>
    </row>
    <row r="67" spans="1:49" x14ac:dyDescent="0.3">
      <c r="A67" s="4"/>
      <c r="B67" s="4"/>
      <c r="C67" s="11" t="str">
        <f t="shared" si="5"/>
        <v/>
      </c>
      <c r="D67" s="18"/>
      <c r="E67" s="64"/>
      <c r="F67" s="64"/>
      <c r="G67" s="10" t="str">
        <f t="shared" si="6"/>
        <v/>
      </c>
      <c r="H67" s="4"/>
      <c r="I67" s="4"/>
      <c r="J67" s="170" t="str">
        <f t="shared" ref="J67:J98" si="27">IF(AND(D67&lt;&gt;"",E67&lt;&gt;""),E67,"")</f>
        <v/>
      </c>
      <c r="K67" s="170" t="str">
        <f t="shared" si="7"/>
        <v/>
      </c>
      <c r="L67" s="168" t="e">
        <f t="shared" si="8"/>
        <v>#N/A</v>
      </c>
      <c r="M67" s="168" t="e">
        <f t="shared" si="9"/>
        <v>#N/A</v>
      </c>
      <c r="O67" s="98" t="str">
        <f t="shared" ref="O67:O98" si="28">IF($J67&lt;&gt;"", _xlfn.NORM.S.INV(($C67-0.375)/(CT_cnt+0.25)), "")</f>
        <v/>
      </c>
      <c r="P67" s="98" t="str">
        <f t="shared" si="10"/>
        <v/>
      </c>
      <c r="Q67" s="95" t="str">
        <f t="shared" si="21"/>
        <v/>
      </c>
      <c r="R67" s="97" t="str">
        <v/>
      </c>
      <c r="S67" s="97" t="str">
        <f t="shared" ref="S67:S98" si="29">IF($J67&lt;&gt;"",($R67-AVERAGE(CT_sort))^2, "")</f>
        <v/>
      </c>
      <c r="T67" s="95" t="str">
        <f t="shared" si="11"/>
        <v/>
      </c>
      <c r="V67" s="98" t="str">
        <f t="shared" ref="V67:V98" si="30">IF($K67&lt;&gt;"", _xlfn.NORM.S.INV(($C67-0.375)/(TX_cnt+0.25)), "")</f>
        <v/>
      </c>
      <c r="W67" s="98" t="str">
        <f t="shared" si="12"/>
        <v/>
      </c>
      <c r="X67" s="95" t="str">
        <f t="shared" si="22"/>
        <v/>
      </c>
      <c r="Y67" s="95" t="str">
        <v/>
      </c>
      <c r="Z67" s="95" t="str">
        <f t="shared" ref="Z67:Z98" si="31">IF($K67&lt;&gt;"",($K67-AVERAGE(TX_sort))^2, "")</f>
        <v/>
      </c>
      <c r="AA67" s="95" t="str">
        <f t="shared" si="13"/>
        <v/>
      </c>
      <c r="AC67" s="95" t="str">
        <f t="shared" si="14"/>
        <v/>
      </c>
      <c r="AD67" s="95" t="str">
        <f t="shared" si="15"/>
        <v/>
      </c>
      <c r="AH67" s="97"/>
      <c r="AL67" s="95" t="str">
        <f t="shared" si="16"/>
        <v/>
      </c>
      <c r="AM67" s="95" t="str">
        <f t="shared" si="17"/>
        <v/>
      </c>
      <c r="AN67" s="95" t="str">
        <f t="shared" si="18"/>
        <v/>
      </c>
      <c r="AO67" s="95" t="str">
        <f t="shared" si="19"/>
        <v/>
      </c>
      <c r="AP67" s="95" t="str">
        <f t="shared" si="20"/>
        <v/>
      </c>
      <c r="AS67" s="97" t="str">
        <f t="shared" si="23"/>
        <v/>
      </c>
      <c r="AT67" s="98" t="str">
        <f t="shared" si="24"/>
        <v/>
      </c>
      <c r="AU67" s="98" t="str">
        <f t="shared" si="25"/>
        <v/>
      </c>
      <c r="AV67" s="95" t="str">
        <f>IF(AQ67="", "", IF(AQ67=$AT$6,AU67+0.221157*(1/SQRT($AT$6))-0.147981*(1/SQRT($AT$6))^2-2.07119*(1/SQRT($AT$6))^3+4.434685*(1/SQRT($AT$6))^4-2.706056*(1/SQRT($AT$6))^5, IF(AQ67=($AT$6-1),AU67+0.042981*(1/SQRT($AT$6))-0.293762*(1/SQRT($AT$6))^2-1.752461*(1/SQRT($AT$6))^3+5.682633*(1/SQRT($AT$6))^4-3.582663*(1/SQRT($AT$6))^5,AT67/SQRT(#REF!))))</f>
        <v/>
      </c>
      <c r="AW67" s="95" t="str">
        <f t="shared" si="26"/>
        <v/>
      </c>
    </row>
    <row r="68" spans="1:49" x14ac:dyDescent="0.3">
      <c r="A68" s="4"/>
      <c r="B68" s="4"/>
      <c r="C68" s="11" t="str">
        <f t="shared" si="5"/>
        <v/>
      </c>
      <c r="D68" s="18"/>
      <c r="E68" s="64"/>
      <c r="F68" s="64"/>
      <c r="G68" s="10" t="str">
        <f t="shared" si="6"/>
        <v/>
      </c>
      <c r="H68" s="4"/>
      <c r="I68" s="4"/>
      <c r="J68" s="170" t="str">
        <f t="shared" si="27"/>
        <v/>
      </c>
      <c r="K68" s="170" t="str">
        <f t="shared" si="7"/>
        <v/>
      </c>
      <c r="L68" s="168" t="e">
        <f t="shared" si="8"/>
        <v>#N/A</v>
      </c>
      <c r="M68" s="168" t="e">
        <f t="shared" si="9"/>
        <v>#N/A</v>
      </c>
      <c r="O68" s="98" t="str">
        <f t="shared" si="28"/>
        <v/>
      </c>
      <c r="P68" s="98" t="str">
        <f t="shared" si="10"/>
        <v/>
      </c>
      <c r="Q68" s="95" t="str">
        <f t="shared" si="21"/>
        <v/>
      </c>
      <c r="R68" s="97" t="str">
        <v/>
      </c>
      <c r="S68" s="97" t="str">
        <f t="shared" si="29"/>
        <v/>
      </c>
      <c r="T68" s="95" t="str">
        <f t="shared" si="11"/>
        <v/>
      </c>
      <c r="V68" s="98" t="str">
        <f t="shared" si="30"/>
        <v/>
      </c>
      <c r="W68" s="98" t="str">
        <f t="shared" si="12"/>
        <v/>
      </c>
      <c r="X68" s="95" t="str">
        <f t="shared" si="22"/>
        <v/>
      </c>
      <c r="Y68" s="95" t="str">
        <v/>
      </c>
      <c r="Z68" s="95" t="str">
        <f t="shared" si="31"/>
        <v/>
      </c>
      <c r="AA68" s="95" t="str">
        <f t="shared" si="13"/>
        <v/>
      </c>
      <c r="AC68" s="95" t="str">
        <f t="shared" si="14"/>
        <v/>
      </c>
      <c r="AD68" s="95" t="str">
        <f t="shared" si="15"/>
        <v/>
      </c>
      <c r="AH68" s="97"/>
      <c r="AL68" s="95" t="str">
        <f t="shared" si="16"/>
        <v/>
      </c>
      <c r="AM68" s="95" t="str">
        <f t="shared" si="17"/>
        <v/>
      </c>
      <c r="AN68" s="95" t="str">
        <f t="shared" si="18"/>
        <v/>
      </c>
      <c r="AO68" s="95" t="str">
        <f t="shared" si="19"/>
        <v/>
      </c>
      <c r="AP68" s="95" t="str">
        <f t="shared" si="20"/>
        <v/>
      </c>
      <c r="AS68" s="97" t="str">
        <f t="shared" si="23"/>
        <v/>
      </c>
      <c r="AT68" s="98" t="str">
        <f t="shared" si="24"/>
        <v/>
      </c>
      <c r="AU68" s="98" t="str">
        <f t="shared" si="25"/>
        <v/>
      </c>
      <c r="AV68" s="95" t="str">
        <f>IF(AQ68="", "", IF(AQ68=$AT$6,AU68+0.221157*(1/SQRT($AT$6))-0.147981*(1/SQRT($AT$6))^2-2.07119*(1/SQRT($AT$6))^3+4.434685*(1/SQRT($AT$6))^4-2.706056*(1/SQRT($AT$6))^5, IF(AQ68=($AT$6-1),AU68+0.042981*(1/SQRT($AT$6))-0.293762*(1/SQRT($AT$6))^2-1.752461*(1/SQRT($AT$6))^3+5.682633*(1/SQRT($AT$6))^4-3.582663*(1/SQRT($AT$6))^5,AT68/SQRT(#REF!))))</f>
        <v/>
      </c>
      <c r="AW68" s="95" t="str">
        <f t="shared" si="26"/>
        <v/>
      </c>
    </row>
    <row r="69" spans="1:49" x14ac:dyDescent="0.3">
      <c r="A69" s="4"/>
      <c r="B69" s="4"/>
      <c r="C69" s="11" t="str">
        <f t="shared" si="5"/>
        <v/>
      </c>
      <c r="D69" s="18"/>
      <c r="E69" s="64"/>
      <c r="F69" s="64"/>
      <c r="G69" s="10" t="str">
        <f t="shared" si="6"/>
        <v/>
      </c>
      <c r="H69" s="4"/>
      <c r="I69" s="4"/>
      <c r="J69" s="170" t="str">
        <f t="shared" si="27"/>
        <v/>
      </c>
      <c r="K69" s="170" t="str">
        <f t="shared" si="7"/>
        <v/>
      </c>
      <c r="L69" s="168" t="e">
        <f t="shared" si="8"/>
        <v>#N/A</v>
      </c>
      <c r="M69" s="168" t="e">
        <f t="shared" si="9"/>
        <v>#N/A</v>
      </c>
      <c r="O69" s="98" t="str">
        <f t="shared" si="28"/>
        <v/>
      </c>
      <c r="P69" s="98" t="str">
        <f t="shared" si="10"/>
        <v/>
      </c>
      <c r="Q69" s="95" t="str">
        <f t="shared" ref="Q69:Q100" si="32">IF(J69="", "", IF(C69=CT_cnt,P69+0.221157*(1/SQRT(CT_cnt))-0.147981*(1/SQRT(CT_cnt))^2-2.07119*(1/SQRT(CT_cnt))^3+4.434685*(1/SQRT(CT_cnt))^4-2.706056*(1/SQRT(CT_cnt))^5, IF(C69=(CT_cnt-1),P69+0.042981*(1/SQRT(CT_cnt))-0.293762*(1/SQRT(CT_cnt))^2-1.752461*(1/SQRT(CT_cnt))^3+5.682633*(1/SQRT(CT_cnt))^4-3.582663*(1/SQRT(CT_cnt))^5,O69/SQRT($P$20))))</f>
        <v/>
      </c>
      <c r="R69" s="97" t="str">
        <v/>
      </c>
      <c r="S69" s="97" t="str">
        <f t="shared" si="29"/>
        <v/>
      </c>
      <c r="T69" s="95" t="str">
        <f t="shared" si="11"/>
        <v/>
      </c>
      <c r="V69" s="98" t="str">
        <f t="shared" si="30"/>
        <v/>
      </c>
      <c r="W69" s="98" t="str">
        <f t="shared" si="12"/>
        <v/>
      </c>
      <c r="X69" s="95" t="str">
        <f t="shared" ref="X69:X100" si="33">IF($K69="", "", IF(C69=TX_cnt,W69+0.221157*(1/SQRT(TX_cnt))-0.147981*(1/SQRT(TX_cnt))^2-2.07119*(1/SQRT(TX_cnt))^3+4.434685*(1/SQRT(TX_cnt))^4-2.706056*(1/SQRT(TX_cnt))^5, IF(C69=(TX_cnt-1),W69+0.042981*(1/SQRT(TX_cnt))-0.293762*(1/SQRT(TX_cnt))^2-1.752461*(1/SQRT(TX_cnt))^3+5.682633*(1/SQRT(TX_cnt))^4-3.582663*(1/SQRT(TX_cnt))^5,V69/SQRT($W$20))))</f>
        <v/>
      </c>
      <c r="Y69" s="95" t="str">
        <v/>
      </c>
      <c r="Z69" s="95" t="str">
        <f t="shared" si="31"/>
        <v/>
      </c>
      <c r="AA69" s="95" t="str">
        <f t="shared" si="13"/>
        <v/>
      </c>
      <c r="AC69" s="95" t="str">
        <f t="shared" si="14"/>
        <v/>
      </c>
      <c r="AD69" s="95" t="str">
        <f t="shared" si="15"/>
        <v/>
      </c>
      <c r="AH69" s="97"/>
      <c r="AL69" s="95" t="str">
        <f t="shared" si="16"/>
        <v/>
      </c>
      <c r="AM69" s="95" t="str">
        <f t="shared" si="17"/>
        <v/>
      </c>
      <c r="AN69" s="95" t="str">
        <f t="shared" si="18"/>
        <v/>
      </c>
      <c r="AO69" s="95" t="str">
        <f t="shared" si="19"/>
        <v/>
      </c>
      <c r="AP69" s="95" t="str">
        <f t="shared" si="20"/>
        <v/>
      </c>
      <c r="AS69" s="97" t="str">
        <f t="shared" si="23"/>
        <v/>
      </c>
      <c r="AT69" s="98" t="str">
        <f t="shared" si="24"/>
        <v/>
      </c>
      <c r="AU69" s="98" t="str">
        <f t="shared" si="25"/>
        <v/>
      </c>
      <c r="AV69" s="95" t="str">
        <f>IF(AQ69="", "", IF(AQ69=$AT$6,AU69+0.221157*(1/SQRT($AT$6))-0.147981*(1/SQRT($AT$6))^2-2.07119*(1/SQRT($AT$6))^3+4.434685*(1/SQRT($AT$6))^4-2.706056*(1/SQRT($AT$6))^5, IF(AQ69=($AT$6-1),AU69+0.042981*(1/SQRT($AT$6))-0.293762*(1/SQRT($AT$6))^2-1.752461*(1/SQRT($AT$6))^3+5.682633*(1/SQRT($AT$6))^4-3.582663*(1/SQRT($AT$6))^5,AT69/SQRT(#REF!))))</f>
        <v/>
      </c>
      <c r="AW69" s="95" t="str">
        <f t="shared" si="26"/>
        <v/>
      </c>
    </row>
    <row r="70" spans="1:49" x14ac:dyDescent="0.3">
      <c r="A70" s="4"/>
      <c r="B70" s="4"/>
      <c r="C70" s="11" t="str">
        <f t="shared" si="5"/>
        <v/>
      </c>
      <c r="D70" s="18"/>
      <c r="E70" s="64"/>
      <c r="F70" s="64"/>
      <c r="G70" s="10" t="str">
        <f t="shared" si="6"/>
        <v/>
      </c>
      <c r="H70" s="4"/>
      <c r="I70" s="4"/>
      <c r="J70" s="170" t="str">
        <f t="shared" si="27"/>
        <v/>
      </c>
      <c r="K70" s="170" t="str">
        <f t="shared" si="7"/>
        <v/>
      </c>
      <c r="L70" s="168" t="e">
        <f t="shared" si="8"/>
        <v>#N/A</v>
      </c>
      <c r="M70" s="168" t="e">
        <f t="shared" si="9"/>
        <v>#N/A</v>
      </c>
      <c r="O70" s="98" t="str">
        <f t="shared" si="28"/>
        <v/>
      </c>
      <c r="P70" s="98" t="str">
        <f t="shared" si="10"/>
        <v/>
      </c>
      <c r="Q70" s="95" t="str">
        <f t="shared" si="32"/>
        <v/>
      </c>
      <c r="R70" s="97" t="str">
        <v/>
      </c>
      <c r="S70" s="97" t="str">
        <f t="shared" si="29"/>
        <v/>
      </c>
      <c r="T70" s="95" t="str">
        <f t="shared" si="11"/>
        <v/>
      </c>
      <c r="V70" s="98" t="str">
        <f t="shared" si="30"/>
        <v/>
      </c>
      <c r="W70" s="98" t="str">
        <f t="shared" si="12"/>
        <v/>
      </c>
      <c r="X70" s="95" t="str">
        <f t="shared" si="33"/>
        <v/>
      </c>
      <c r="Y70" s="95" t="str">
        <v/>
      </c>
      <c r="Z70" s="95" t="str">
        <f t="shared" si="31"/>
        <v/>
      </c>
      <c r="AA70" s="95" t="str">
        <f t="shared" si="13"/>
        <v/>
      </c>
      <c r="AC70" s="95" t="str">
        <f t="shared" si="14"/>
        <v/>
      </c>
      <c r="AD70" s="95" t="str">
        <f t="shared" si="15"/>
        <v/>
      </c>
      <c r="AH70" s="97"/>
      <c r="AL70" s="95" t="str">
        <f t="shared" si="16"/>
        <v/>
      </c>
      <c r="AM70" s="95" t="str">
        <f t="shared" si="17"/>
        <v/>
      </c>
      <c r="AN70" s="95" t="str">
        <f t="shared" si="18"/>
        <v/>
      </c>
      <c r="AO70" s="95" t="str">
        <f t="shared" si="19"/>
        <v/>
      </c>
      <c r="AP70" s="95" t="str">
        <f t="shared" si="20"/>
        <v/>
      </c>
      <c r="AS70" s="97" t="str">
        <f t="shared" si="23"/>
        <v/>
      </c>
      <c r="AT70" s="98" t="str">
        <f t="shared" si="24"/>
        <v/>
      </c>
      <c r="AU70" s="98" t="str">
        <f t="shared" si="25"/>
        <v/>
      </c>
      <c r="AV70" s="95" t="str">
        <f>IF(AQ70="", "", IF(AQ70=$AT$6,AU70+0.221157*(1/SQRT($AT$6))-0.147981*(1/SQRT($AT$6))^2-2.07119*(1/SQRT($AT$6))^3+4.434685*(1/SQRT($AT$6))^4-2.706056*(1/SQRT($AT$6))^5, IF(AQ70=($AT$6-1),AU70+0.042981*(1/SQRT($AT$6))-0.293762*(1/SQRT($AT$6))^2-1.752461*(1/SQRT($AT$6))^3+5.682633*(1/SQRT($AT$6))^4-3.582663*(1/SQRT($AT$6))^5,AT70/SQRT(#REF!))))</f>
        <v/>
      </c>
      <c r="AW70" s="95" t="str">
        <f t="shared" si="26"/>
        <v/>
      </c>
    </row>
    <row r="71" spans="1:49" x14ac:dyDescent="0.3">
      <c r="A71" s="4"/>
      <c r="B71" s="4"/>
      <c r="C71" s="11" t="str">
        <f t="shared" si="5"/>
        <v/>
      </c>
      <c r="D71" s="18"/>
      <c r="E71" s="64"/>
      <c r="F71" s="64"/>
      <c r="G71" s="10" t="str">
        <f t="shared" si="6"/>
        <v/>
      </c>
      <c r="H71" s="4"/>
      <c r="I71" s="4"/>
      <c r="J71" s="170" t="str">
        <f t="shared" si="27"/>
        <v/>
      </c>
      <c r="K71" s="170" t="str">
        <f t="shared" si="7"/>
        <v/>
      </c>
      <c r="L71" s="168" t="e">
        <f t="shared" si="8"/>
        <v>#N/A</v>
      </c>
      <c r="M71" s="168" t="e">
        <f t="shared" si="9"/>
        <v>#N/A</v>
      </c>
      <c r="O71" s="98" t="str">
        <f t="shared" si="28"/>
        <v/>
      </c>
      <c r="P71" s="98" t="str">
        <f t="shared" si="10"/>
        <v/>
      </c>
      <c r="Q71" s="95" t="str">
        <f t="shared" si="32"/>
        <v/>
      </c>
      <c r="R71" s="97" t="str">
        <v/>
      </c>
      <c r="S71" s="97" t="str">
        <f t="shared" si="29"/>
        <v/>
      </c>
      <c r="T71" s="95" t="str">
        <f t="shared" si="11"/>
        <v/>
      </c>
      <c r="V71" s="98" t="str">
        <f t="shared" si="30"/>
        <v/>
      </c>
      <c r="W71" s="98" t="str">
        <f t="shared" si="12"/>
        <v/>
      </c>
      <c r="X71" s="95" t="str">
        <f t="shared" si="33"/>
        <v/>
      </c>
      <c r="Y71" s="95" t="str">
        <v/>
      </c>
      <c r="Z71" s="95" t="str">
        <f t="shared" si="31"/>
        <v/>
      </c>
      <c r="AA71" s="95" t="str">
        <f t="shared" si="13"/>
        <v/>
      </c>
      <c r="AC71" s="95" t="str">
        <f t="shared" si="14"/>
        <v/>
      </c>
      <c r="AD71" s="95" t="str">
        <f t="shared" si="15"/>
        <v/>
      </c>
      <c r="AH71" s="97"/>
      <c r="AL71" s="95" t="str">
        <f t="shared" si="16"/>
        <v/>
      </c>
      <c r="AM71" s="95" t="str">
        <f t="shared" si="17"/>
        <v/>
      </c>
      <c r="AN71" s="95" t="str">
        <f t="shared" si="18"/>
        <v/>
      </c>
      <c r="AO71" s="95" t="str">
        <f t="shared" si="19"/>
        <v/>
      </c>
      <c r="AP71" s="95" t="str">
        <f t="shared" si="20"/>
        <v/>
      </c>
      <c r="AS71" s="97" t="str">
        <f t="shared" si="23"/>
        <v/>
      </c>
      <c r="AT71" s="98" t="str">
        <f t="shared" si="24"/>
        <v/>
      </c>
      <c r="AU71" s="98" t="str">
        <f t="shared" si="25"/>
        <v/>
      </c>
      <c r="AV71" s="95" t="str">
        <f>IF(AQ71="", "", IF(AQ71=$AT$6,AU71+0.221157*(1/SQRT($AT$6))-0.147981*(1/SQRT($AT$6))^2-2.07119*(1/SQRT($AT$6))^3+4.434685*(1/SQRT($AT$6))^4-2.706056*(1/SQRT($AT$6))^5, IF(AQ71=($AT$6-1),AU71+0.042981*(1/SQRT($AT$6))-0.293762*(1/SQRT($AT$6))^2-1.752461*(1/SQRT($AT$6))^3+5.682633*(1/SQRT($AT$6))^4-3.582663*(1/SQRT($AT$6))^5,AT71/SQRT(#REF!))))</f>
        <v/>
      </c>
      <c r="AW71" s="95" t="str">
        <f t="shared" si="26"/>
        <v/>
      </c>
    </row>
    <row r="72" spans="1:49" x14ac:dyDescent="0.3">
      <c r="A72" s="4"/>
      <c r="B72" s="4"/>
      <c r="C72" s="11" t="str">
        <f t="shared" si="5"/>
        <v/>
      </c>
      <c r="D72" s="18"/>
      <c r="E72" s="64"/>
      <c r="F72" s="64"/>
      <c r="G72" s="10" t="str">
        <f t="shared" si="6"/>
        <v/>
      </c>
      <c r="H72" s="4"/>
      <c r="I72" s="4"/>
      <c r="J72" s="170" t="str">
        <f t="shared" si="27"/>
        <v/>
      </c>
      <c r="K72" s="170" t="str">
        <f t="shared" si="7"/>
        <v/>
      </c>
      <c r="L72" s="168" t="e">
        <f t="shared" si="8"/>
        <v>#N/A</v>
      </c>
      <c r="M72" s="168" t="e">
        <f t="shared" si="9"/>
        <v>#N/A</v>
      </c>
      <c r="O72" s="98" t="str">
        <f t="shared" si="28"/>
        <v/>
      </c>
      <c r="P72" s="98" t="str">
        <f t="shared" si="10"/>
        <v/>
      </c>
      <c r="Q72" s="95" t="str">
        <f t="shared" si="32"/>
        <v/>
      </c>
      <c r="R72" s="97" t="str">
        <v/>
      </c>
      <c r="S72" s="97" t="str">
        <f t="shared" si="29"/>
        <v/>
      </c>
      <c r="T72" s="95" t="str">
        <f t="shared" si="11"/>
        <v/>
      </c>
      <c r="V72" s="98" t="str">
        <f t="shared" si="30"/>
        <v/>
      </c>
      <c r="W72" s="98" t="str">
        <f t="shared" si="12"/>
        <v/>
      </c>
      <c r="X72" s="95" t="str">
        <f t="shared" si="33"/>
        <v/>
      </c>
      <c r="Y72" s="95" t="str">
        <v/>
      </c>
      <c r="Z72" s="95" t="str">
        <f t="shared" si="31"/>
        <v/>
      </c>
      <c r="AA72" s="95" t="str">
        <f t="shared" si="13"/>
        <v/>
      </c>
      <c r="AC72" s="95" t="str">
        <f t="shared" si="14"/>
        <v/>
      </c>
      <c r="AD72" s="95" t="str">
        <f t="shared" si="15"/>
        <v/>
      </c>
      <c r="AH72" s="97"/>
      <c r="AL72" s="95" t="str">
        <f t="shared" si="16"/>
        <v/>
      </c>
      <c r="AM72" s="95" t="str">
        <f t="shared" si="17"/>
        <v/>
      </c>
      <c r="AN72" s="95" t="str">
        <f t="shared" si="18"/>
        <v/>
      </c>
      <c r="AO72" s="95" t="str">
        <f t="shared" si="19"/>
        <v/>
      </c>
      <c r="AP72" s="95" t="str">
        <f t="shared" si="20"/>
        <v/>
      </c>
      <c r="AS72" s="97" t="str">
        <f t="shared" si="23"/>
        <v/>
      </c>
      <c r="AT72" s="98" t="str">
        <f t="shared" si="24"/>
        <v/>
      </c>
      <c r="AU72" s="98" t="str">
        <f t="shared" si="25"/>
        <v/>
      </c>
      <c r="AV72" s="95" t="str">
        <f>IF(AQ72="", "", IF(AQ72=$AT$6,AU72+0.221157*(1/SQRT($AT$6))-0.147981*(1/SQRT($AT$6))^2-2.07119*(1/SQRT($AT$6))^3+4.434685*(1/SQRT($AT$6))^4-2.706056*(1/SQRT($AT$6))^5, IF(AQ72=($AT$6-1),AU72+0.042981*(1/SQRT($AT$6))-0.293762*(1/SQRT($AT$6))^2-1.752461*(1/SQRT($AT$6))^3+5.682633*(1/SQRT($AT$6))^4-3.582663*(1/SQRT($AT$6))^5,AT72/SQRT(#REF!))))</f>
        <v/>
      </c>
      <c r="AW72" s="95" t="str">
        <f t="shared" si="26"/>
        <v/>
      </c>
    </row>
    <row r="73" spans="1:49" x14ac:dyDescent="0.3">
      <c r="A73" s="4"/>
      <c r="B73" s="4"/>
      <c r="C73" s="11" t="str">
        <f t="shared" si="5"/>
        <v/>
      </c>
      <c r="D73" s="18"/>
      <c r="E73" s="64"/>
      <c r="F73" s="64"/>
      <c r="G73" s="10" t="str">
        <f t="shared" si="6"/>
        <v/>
      </c>
      <c r="H73" s="4"/>
      <c r="I73" s="4"/>
      <c r="J73" s="170" t="str">
        <f t="shared" si="27"/>
        <v/>
      </c>
      <c r="K73" s="170" t="str">
        <f t="shared" si="7"/>
        <v/>
      </c>
      <c r="L73" s="168" t="e">
        <f t="shared" si="8"/>
        <v>#N/A</v>
      </c>
      <c r="M73" s="168" t="e">
        <f t="shared" si="9"/>
        <v>#N/A</v>
      </c>
      <c r="O73" s="98" t="str">
        <f t="shared" si="28"/>
        <v/>
      </c>
      <c r="P73" s="98" t="str">
        <f t="shared" si="10"/>
        <v/>
      </c>
      <c r="Q73" s="95" t="str">
        <f t="shared" si="32"/>
        <v/>
      </c>
      <c r="R73" s="97" t="str">
        <v/>
      </c>
      <c r="S73" s="97" t="str">
        <f t="shared" si="29"/>
        <v/>
      </c>
      <c r="T73" s="95" t="str">
        <f t="shared" si="11"/>
        <v/>
      </c>
      <c r="V73" s="98" t="str">
        <f t="shared" si="30"/>
        <v/>
      </c>
      <c r="W73" s="98" t="str">
        <f t="shared" si="12"/>
        <v/>
      </c>
      <c r="X73" s="95" t="str">
        <f t="shared" si="33"/>
        <v/>
      </c>
      <c r="Y73" s="95" t="str">
        <v/>
      </c>
      <c r="Z73" s="95" t="str">
        <f t="shared" si="31"/>
        <v/>
      </c>
      <c r="AA73" s="95" t="str">
        <f t="shared" si="13"/>
        <v/>
      </c>
      <c r="AC73" s="95" t="str">
        <f t="shared" si="14"/>
        <v/>
      </c>
      <c r="AD73" s="95" t="str">
        <f t="shared" si="15"/>
        <v/>
      </c>
      <c r="AH73" s="97"/>
      <c r="AL73" s="95" t="str">
        <f t="shared" si="16"/>
        <v/>
      </c>
      <c r="AM73" s="95" t="str">
        <f t="shared" si="17"/>
        <v/>
      </c>
      <c r="AN73" s="95" t="str">
        <f t="shared" si="18"/>
        <v/>
      </c>
      <c r="AO73" s="95" t="str">
        <f t="shared" si="19"/>
        <v/>
      </c>
      <c r="AP73" s="95" t="str">
        <f t="shared" si="20"/>
        <v/>
      </c>
      <c r="AS73" s="97" t="str">
        <f t="shared" si="23"/>
        <v/>
      </c>
      <c r="AT73" s="98" t="str">
        <f t="shared" si="24"/>
        <v/>
      </c>
      <c r="AU73" s="98" t="str">
        <f t="shared" si="25"/>
        <v/>
      </c>
      <c r="AV73" s="95" t="str">
        <f>IF(AQ73="", "", IF(AQ73=$AT$6,AU73+0.221157*(1/SQRT($AT$6))-0.147981*(1/SQRT($AT$6))^2-2.07119*(1/SQRT($AT$6))^3+4.434685*(1/SQRT($AT$6))^4-2.706056*(1/SQRT($AT$6))^5, IF(AQ73=($AT$6-1),AU73+0.042981*(1/SQRT($AT$6))-0.293762*(1/SQRT($AT$6))^2-1.752461*(1/SQRT($AT$6))^3+5.682633*(1/SQRT($AT$6))^4-3.582663*(1/SQRT($AT$6))^5,AT73/SQRT(#REF!))))</f>
        <v/>
      </c>
      <c r="AW73" s="95" t="str">
        <f t="shared" si="26"/>
        <v/>
      </c>
    </row>
    <row r="74" spans="1:49" x14ac:dyDescent="0.3">
      <c r="A74" s="4"/>
      <c r="B74" s="4"/>
      <c r="C74" s="11" t="str">
        <f t="shared" si="5"/>
        <v/>
      </c>
      <c r="D74" s="18"/>
      <c r="E74" s="64"/>
      <c r="F74" s="64"/>
      <c r="G74" s="10" t="str">
        <f t="shared" si="6"/>
        <v/>
      </c>
      <c r="H74" s="4"/>
      <c r="I74" s="4"/>
      <c r="J74" s="170" t="str">
        <f t="shared" si="27"/>
        <v/>
      </c>
      <c r="K74" s="170" t="str">
        <f t="shared" si="7"/>
        <v/>
      </c>
      <c r="L74" s="168" t="e">
        <f t="shared" si="8"/>
        <v>#N/A</v>
      </c>
      <c r="M74" s="168" t="e">
        <f t="shared" si="9"/>
        <v>#N/A</v>
      </c>
      <c r="O74" s="98" t="str">
        <f t="shared" si="28"/>
        <v/>
      </c>
      <c r="P74" s="98" t="str">
        <f t="shared" si="10"/>
        <v/>
      </c>
      <c r="Q74" s="95" t="str">
        <f t="shared" si="32"/>
        <v/>
      </c>
      <c r="R74" s="97" t="str">
        <v/>
      </c>
      <c r="S74" s="97" t="str">
        <f t="shared" si="29"/>
        <v/>
      </c>
      <c r="T74" s="95" t="str">
        <f t="shared" si="11"/>
        <v/>
      </c>
      <c r="V74" s="98" t="str">
        <f t="shared" si="30"/>
        <v/>
      </c>
      <c r="W74" s="98" t="str">
        <f t="shared" si="12"/>
        <v/>
      </c>
      <c r="X74" s="95" t="str">
        <f t="shared" si="33"/>
        <v/>
      </c>
      <c r="Y74" s="95" t="str">
        <v/>
      </c>
      <c r="Z74" s="95" t="str">
        <f t="shared" si="31"/>
        <v/>
      </c>
      <c r="AA74" s="95" t="str">
        <f t="shared" si="13"/>
        <v/>
      </c>
      <c r="AC74" s="95" t="str">
        <f t="shared" si="14"/>
        <v/>
      </c>
      <c r="AD74" s="95" t="str">
        <f t="shared" si="15"/>
        <v/>
      </c>
      <c r="AH74" s="97"/>
      <c r="AL74" s="95" t="str">
        <f t="shared" si="16"/>
        <v/>
      </c>
      <c r="AM74" s="95" t="str">
        <f t="shared" si="17"/>
        <v/>
      </c>
      <c r="AN74" s="95" t="str">
        <f t="shared" si="18"/>
        <v/>
      </c>
      <c r="AO74" s="95" t="str">
        <f t="shared" si="19"/>
        <v/>
      </c>
      <c r="AP74" s="95" t="str">
        <f t="shared" si="20"/>
        <v/>
      </c>
      <c r="AS74" s="97" t="str">
        <f t="shared" si="23"/>
        <v/>
      </c>
      <c r="AT74" s="98" t="str">
        <f t="shared" si="24"/>
        <v/>
      </c>
      <c r="AU74" s="98" t="str">
        <f t="shared" si="25"/>
        <v/>
      </c>
      <c r="AV74" s="95" t="str">
        <f>IF(AQ74="", "", IF(AQ74=$AT$6,AU74+0.221157*(1/SQRT($AT$6))-0.147981*(1/SQRT($AT$6))^2-2.07119*(1/SQRT($AT$6))^3+4.434685*(1/SQRT($AT$6))^4-2.706056*(1/SQRT($AT$6))^5, IF(AQ74=($AT$6-1),AU74+0.042981*(1/SQRT($AT$6))-0.293762*(1/SQRT($AT$6))^2-1.752461*(1/SQRT($AT$6))^3+5.682633*(1/SQRT($AT$6))^4-3.582663*(1/SQRT($AT$6))^5,AT74/SQRT(#REF!))))</f>
        <v/>
      </c>
      <c r="AW74" s="95" t="str">
        <f t="shared" si="26"/>
        <v/>
      </c>
    </row>
    <row r="75" spans="1:49" x14ac:dyDescent="0.3">
      <c r="A75" s="4"/>
      <c r="B75" s="4"/>
      <c r="C75" s="11" t="str">
        <f t="shared" si="5"/>
        <v/>
      </c>
      <c r="D75" s="18"/>
      <c r="E75" s="64"/>
      <c r="F75" s="64"/>
      <c r="G75" s="10" t="str">
        <f t="shared" si="6"/>
        <v/>
      </c>
      <c r="H75" s="4"/>
      <c r="I75" s="4"/>
      <c r="J75" s="170" t="str">
        <f t="shared" si="27"/>
        <v/>
      </c>
      <c r="K75" s="170" t="str">
        <f t="shared" si="7"/>
        <v/>
      </c>
      <c r="L75" s="168" t="e">
        <f t="shared" si="8"/>
        <v>#N/A</v>
      </c>
      <c r="M75" s="168" t="e">
        <f t="shared" si="9"/>
        <v>#N/A</v>
      </c>
      <c r="O75" s="98" t="str">
        <f t="shared" si="28"/>
        <v/>
      </c>
      <c r="P75" s="98" t="str">
        <f t="shared" si="10"/>
        <v/>
      </c>
      <c r="Q75" s="95" t="str">
        <f t="shared" si="32"/>
        <v/>
      </c>
      <c r="R75" s="97" t="str">
        <v/>
      </c>
      <c r="S75" s="97" t="str">
        <f t="shared" si="29"/>
        <v/>
      </c>
      <c r="T75" s="95" t="str">
        <f t="shared" si="11"/>
        <v/>
      </c>
      <c r="V75" s="98" t="str">
        <f t="shared" si="30"/>
        <v/>
      </c>
      <c r="W75" s="98" t="str">
        <f t="shared" si="12"/>
        <v/>
      </c>
      <c r="X75" s="95" t="str">
        <f t="shared" si="33"/>
        <v/>
      </c>
      <c r="Y75" s="95" t="str">
        <v/>
      </c>
      <c r="Z75" s="95" t="str">
        <f t="shared" si="31"/>
        <v/>
      </c>
      <c r="AA75" s="95" t="str">
        <f t="shared" si="13"/>
        <v/>
      </c>
      <c r="AC75" s="95" t="str">
        <f t="shared" si="14"/>
        <v/>
      </c>
      <c r="AD75" s="95" t="str">
        <f t="shared" si="15"/>
        <v/>
      </c>
      <c r="AH75" s="97"/>
      <c r="AL75" s="95" t="str">
        <f t="shared" si="16"/>
        <v/>
      </c>
      <c r="AM75" s="95" t="str">
        <f t="shared" si="17"/>
        <v/>
      </c>
      <c r="AN75" s="95" t="str">
        <f t="shared" si="18"/>
        <v/>
      </c>
      <c r="AO75" s="95" t="str">
        <f t="shared" si="19"/>
        <v/>
      </c>
      <c r="AP75" s="95" t="str">
        <f t="shared" si="20"/>
        <v/>
      </c>
      <c r="AS75" s="97" t="str">
        <f t="shared" si="23"/>
        <v/>
      </c>
      <c r="AT75" s="98" t="str">
        <f t="shared" si="24"/>
        <v/>
      </c>
      <c r="AU75" s="98" t="str">
        <f t="shared" si="25"/>
        <v/>
      </c>
      <c r="AV75" s="95" t="str">
        <f>IF(AQ75="", "", IF(AQ75=$AT$6,AU75+0.221157*(1/SQRT($AT$6))-0.147981*(1/SQRT($AT$6))^2-2.07119*(1/SQRT($AT$6))^3+4.434685*(1/SQRT($AT$6))^4-2.706056*(1/SQRT($AT$6))^5, IF(AQ75=($AT$6-1),AU75+0.042981*(1/SQRT($AT$6))-0.293762*(1/SQRT($AT$6))^2-1.752461*(1/SQRT($AT$6))^3+5.682633*(1/SQRT($AT$6))^4-3.582663*(1/SQRT($AT$6))^5,AT75/SQRT(#REF!))))</f>
        <v/>
      </c>
      <c r="AW75" s="95" t="str">
        <f t="shared" si="26"/>
        <v/>
      </c>
    </row>
    <row r="76" spans="1:49" x14ac:dyDescent="0.3">
      <c r="A76" s="4"/>
      <c r="B76" s="4"/>
      <c r="C76" s="11" t="str">
        <f t="shared" si="5"/>
        <v/>
      </c>
      <c r="D76" s="18"/>
      <c r="E76" s="64"/>
      <c r="F76" s="64"/>
      <c r="G76" s="10" t="str">
        <f t="shared" si="6"/>
        <v/>
      </c>
      <c r="H76" s="4"/>
      <c r="I76" s="4"/>
      <c r="J76" s="170" t="str">
        <f t="shared" si="27"/>
        <v/>
      </c>
      <c r="K76" s="170" t="str">
        <f t="shared" si="7"/>
        <v/>
      </c>
      <c r="L76" s="168" t="e">
        <f t="shared" si="8"/>
        <v>#N/A</v>
      </c>
      <c r="M76" s="168" t="e">
        <f t="shared" si="9"/>
        <v>#N/A</v>
      </c>
      <c r="O76" s="98" t="str">
        <f t="shared" si="28"/>
        <v/>
      </c>
      <c r="P76" s="98" t="str">
        <f t="shared" si="10"/>
        <v/>
      </c>
      <c r="Q76" s="95" t="str">
        <f t="shared" si="32"/>
        <v/>
      </c>
      <c r="R76" s="97" t="str">
        <v/>
      </c>
      <c r="S76" s="97" t="str">
        <f t="shared" si="29"/>
        <v/>
      </c>
      <c r="T76" s="95" t="str">
        <f t="shared" si="11"/>
        <v/>
      </c>
      <c r="V76" s="98" t="str">
        <f t="shared" si="30"/>
        <v/>
      </c>
      <c r="W76" s="98" t="str">
        <f t="shared" si="12"/>
        <v/>
      </c>
      <c r="X76" s="95" t="str">
        <f t="shared" si="33"/>
        <v/>
      </c>
      <c r="Y76" s="95" t="str">
        <v/>
      </c>
      <c r="Z76" s="95" t="str">
        <f t="shared" si="31"/>
        <v/>
      </c>
      <c r="AA76" s="95" t="str">
        <f t="shared" si="13"/>
        <v/>
      </c>
      <c r="AC76" s="95" t="str">
        <f t="shared" si="14"/>
        <v/>
      </c>
      <c r="AD76" s="95" t="str">
        <f t="shared" si="15"/>
        <v/>
      </c>
      <c r="AH76" s="97"/>
      <c r="AL76" s="95" t="str">
        <f t="shared" si="16"/>
        <v/>
      </c>
      <c r="AM76" s="95" t="str">
        <f t="shared" si="17"/>
        <v/>
      </c>
      <c r="AN76" s="95" t="str">
        <f t="shared" si="18"/>
        <v/>
      </c>
      <c r="AO76" s="95" t="str">
        <f t="shared" si="19"/>
        <v/>
      </c>
      <c r="AP76" s="95" t="str">
        <f t="shared" si="20"/>
        <v/>
      </c>
      <c r="AS76" s="97" t="str">
        <f t="shared" si="23"/>
        <v/>
      </c>
      <c r="AT76" s="98" t="str">
        <f t="shared" si="24"/>
        <v/>
      </c>
      <c r="AU76" s="98" t="str">
        <f t="shared" si="25"/>
        <v/>
      </c>
      <c r="AV76" s="95" t="str">
        <f>IF(AQ76="", "", IF(AQ76=$AT$6,AU76+0.221157*(1/SQRT($AT$6))-0.147981*(1/SQRT($AT$6))^2-2.07119*(1/SQRT($AT$6))^3+4.434685*(1/SQRT($AT$6))^4-2.706056*(1/SQRT($AT$6))^5, IF(AQ76=($AT$6-1),AU76+0.042981*(1/SQRT($AT$6))-0.293762*(1/SQRT($AT$6))^2-1.752461*(1/SQRT($AT$6))^3+5.682633*(1/SQRT($AT$6))^4-3.582663*(1/SQRT($AT$6))^5,AT76/SQRT(#REF!))))</f>
        <v/>
      </c>
      <c r="AW76" s="95" t="str">
        <f t="shared" si="26"/>
        <v/>
      </c>
    </row>
    <row r="77" spans="1:49" x14ac:dyDescent="0.3">
      <c r="A77" s="4"/>
      <c r="B77" s="4"/>
      <c r="C77" s="11" t="str">
        <f t="shared" si="5"/>
        <v/>
      </c>
      <c r="D77" s="18"/>
      <c r="E77" s="64"/>
      <c r="F77" s="64"/>
      <c r="G77" s="10" t="str">
        <f t="shared" si="6"/>
        <v/>
      </c>
      <c r="H77" s="4"/>
      <c r="I77" s="4"/>
      <c r="J77" s="170" t="str">
        <f t="shared" si="27"/>
        <v/>
      </c>
      <c r="K77" s="170" t="str">
        <f t="shared" si="7"/>
        <v/>
      </c>
      <c r="L77" s="168" t="e">
        <f t="shared" si="8"/>
        <v>#N/A</v>
      </c>
      <c r="M77" s="168" t="e">
        <f t="shared" si="9"/>
        <v>#N/A</v>
      </c>
      <c r="O77" s="98" t="str">
        <f t="shared" si="28"/>
        <v/>
      </c>
      <c r="P77" s="98" t="str">
        <f t="shared" si="10"/>
        <v/>
      </c>
      <c r="Q77" s="95" t="str">
        <f t="shared" si="32"/>
        <v/>
      </c>
      <c r="R77" s="97" t="str">
        <v/>
      </c>
      <c r="S77" s="97" t="str">
        <f t="shared" si="29"/>
        <v/>
      </c>
      <c r="T77" s="95" t="str">
        <f t="shared" si="11"/>
        <v/>
      </c>
      <c r="V77" s="98" t="str">
        <f t="shared" si="30"/>
        <v/>
      </c>
      <c r="W77" s="98" t="str">
        <f t="shared" si="12"/>
        <v/>
      </c>
      <c r="X77" s="95" t="str">
        <f t="shared" si="33"/>
        <v/>
      </c>
      <c r="Y77" s="95" t="str">
        <v/>
      </c>
      <c r="Z77" s="95" t="str">
        <f t="shared" si="31"/>
        <v/>
      </c>
      <c r="AA77" s="95" t="str">
        <f t="shared" si="13"/>
        <v/>
      </c>
      <c r="AC77" s="95" t="str">
        <f t="shared" si="14"/>
        <v/>
      </c>
      <c r="AD77" s="95" t="str">
        <f t="shared" si="15"/>
        <v/>
      </c>
      <c r="AH77" s="97"/>
      <c r="AL77" s="95" t="str">
        <f t="shared" si="16"/>
        <v/>
      </c>
      <c r="AM77" s="95" t="str">
        <f t="shared" si="17"/>
        <v/>
      </c>
      <c r="AN77" s="95" t="str">
        <f t="shared" si="18"/>
        <v/>
      </c>
      <c r="AO77" s="95" t="str">
        <f t="shared" si="19"/>
        <v/>
      </c>
      <c r="AP77" s="95" t="str">
        <f t="shared" si="20"/>
        <v/>
      </c>
      <c r="AS77" s="97" t="str">
        <f t="shared" si="23"/>
        <v/>
      </c>
      <c r="AT77" s="98" t="str">
        <f t="shared" si="24"/>
        <v/>
      </c>
      <c r="AU77" s="98" t="str">
        <f t="shared" si="25"/>
        <v/>
      </c>
      <c r="AV77" s="95" t="str">
        <f>IF(AQ77="", "", IF(AQ77=$AT$6,AU77+0.221157*(1/SQRT($AT$6))-0.147981*(1/SQRT($AT$6))^2-2.07119*(1/SQRT($AT$6))^3+4.434685*(1/SQRT($AT$6))^4-2.706056*(1/SQRT($AT$6))^5, IF(AQ77=($AT$6-1),AU77+0.042981*(1/SQRT($AT$6))-0.293762*(1/SQRT($AT$6))^2-1.752461*(1/SQRT($AT$6))^3+5.682633*(1/SQRT($AT$6))^4-3.582663*(1/SQRT($AT$6))^5,AT77/SQRT(#REF!))))</f>
        <v/>
      </c>
      <c r="AW77" s="95" t="str">
        <f t="shared" si="26"/>
        <v/>
      </c>
    </row>
    <row r="78" spans="1:49" x14ac:dyDescent="0.3">
      <c r="A78" s="4"/>
      <c r="B78" s="4"/>
      <c r="C78" s="11" t="str">
        <f t="shared" si="5"/>
        <v/>
      </c>
      <c r="D78" s="18"/>
      <c r="E78" s="64"/>
      <c r="F78" s="64"/>
      <c r="G78" s="10" t="str">
        <f t="shared" si="6"/>
        <v/>
      </c>
      <c r="H78" s="4"/>
      <c r="I78" s="4"/>
      <c r="J78" s="170" t="str">
        <f t="shared" si="27"/>
        <v/>
      </c>
      <c r="K78" s="170" t="str">
        <f t="shared" si="7"/>
        <v/>
      </c>
      <c r="L78" s="168" t="e">
        <f t="shared" si="8"/>
        <v>#N/A</v>
      </c>
      <c r="M78" s="168" t="e">
        <f t="shared" si="9"/>
        <v>#N/A</v>
      </c>
      <c r="O78" s="98" t="str">
        <f t="shared" si="28"/>
        <v/>
      </c>
      <c r="P78" s="98" t="str">
        <f t="shared" si="10"/>
        <v/>
      </c>
      <c r="Q78" s="95" t="str">
        <f t="shared" si="32"/>
        <v/>
      </c>
      <c r="R78" s="97" t="str">
        <v/>
      </c>
      <c r="S78" s="97" t="str">
        <f t="shared" si="29"/>
        <v/>
      </c>
      <c r="T78" s="95" t="str">
        <f t="shared" si="11"/>
        <v/>
      </c>
      <c r="V78" s="98" t="str">
        <f t="shared" si="30"/>
        <v/>
      </c>
      <c r="W78" s="98" t="str">
        <f t="shared" si="12"/>
        <v/>
      </c>
      <c r="X78" s="95" t="str">
        <f t="shared" si="33"/>
        <v/>
      </c>
      <c r="Y78" s="95" t="str">
        <v/>
      </c>
      <c r="Z78" s="95" t="str">
        <f t="shared" si="31"/>
        <v/>
      </c>
      <c r="AA78" s="95" t="str">
        <f t="shared" si="13"/>
        <v/>
      </c>
      <c r="AC78" s="95" t="str">
        <f t="shared" si="14"/>
        <v/>
      </c>
      <c r="AD78" s="95" t="str">
        <f t="shared" si="15"/>
        <v/>
      </c>
      <c r="AH78" s="97"/>
      <c r="AL78" s="95" t="str">
        <f t="shared" si="16"/>
        <v/>
      </c>
      <c r="AM78" s="95" t="str">
        <f t="shared" si="17"/>
        <v/>
      </c>
      <c r="AN78" s="95" t="str">
        <f t="shared" si="18"/>
        <v/>
      </c>
      <c r="AO78" s="95" t="str">
        <f t="shared" si="19"/>
        <v/>
      </c>
      <c r="AP78" s="95" t="str">
        <f t="shared" si="20"/>
        <v/>
      </c>
      <c r="AS78" s="97" t="str">
        <f t="shared" si="23"/>
        <v/>
      </c>
      <c r="AT78" s="98" t="str">
        <f t="shared" si="24"/>
        <v/>
      </c>
      <c r="AU78" s="98" t="str">
        <f t="shared" si="25"/>
        <v/>
      </c>
      <c r="AV78" s="95" t="str">
        <f>IF(AQ78="", "", IF(AQ78=$AT$6,AU78+0.221157*(1/SQRT($AT$6))-0.147981*(1/SQRT($AT$6))^2-2.07119*(1/SQRT($AT$6))^3+4.434685*(1/SQRT($AT$6))^4-2.706056*(1/SQRT($AT$6))^5, IF(AQ78=($AT$6-1),AU78+0.042981*(1/SQRT($AT$6))-0.293762*(1/SQRT($AT$6))^2-1.752461*(1/SQRT($AT$6))^3+5.682633*(1/SQRT($AT$6))^4-3.582663*(1/SQRT($AT$6))^5,AT78/SQRT(#REF!))))</f>
        <v/>
      </c>
      <c r="AW78" s="95" t="str">
        <f t="shared" si="26"/>
        <v/>
      </c>
    </row>
    <row r="79" spans="1:49" x14ac:dyDescent="0.3">
      <c r="A79" s="4"/>
      <c r="B79" s="4"/>
      <c r="C79" s="11" t="str">
        <f t="shared" si="5"/>
        <v/>
      </c>
      <c r="D79" s="18"/>
      <c r="E79" s="64"/>
      <c r="F79" s="64"/>
      <c r="G79" s="10" t="str">
        <f t="shared" si="6"/>
        <v/>
      </c>
      <c r="H79" s="4"/>
      <c r="I79" s="4"/>
      <c r="J79" s="170" t="str">
        <f t="shared" si="27"/>
        <v/>
      </c>
      <c r="K79" s="170" t="str">
        <f t="shared" si="7"/>
        <v/>
      </c>
      <c r="L79" s="168" t="e">
        <f t="shared" si="8"/>
        <v>#N/A</v>
      </c>
      <c r="M79" s="168" t="e">
        <f t="shared" si="9"/>
        <v>#N/A</v>
      </c>
      <c r="O79" s="98" t="str">
        <f t="shared" si="28"/>
        <v/>
      </c>
      <c r="P79" s="98" t="str">
        <f t="shared" si="10"/>
        <v/>
      </c>
      <c r="Q79" s="95" t="str">
        <f t="shared" si="32"/>
        <v/>
      </c>
      <c r="R79" s="97" t="str">
        <v/>
      </c>
      <c r="S79" s="97" t="str">
        <f t="shared" si="29"/>
        <v/>
      </c>
      <c r="T79" s="95" t="str">
        <f t="shared" si="11"/>
        <v/>
      </c>
      <c r="V79" s="98" t="str">
        <f t="shared" si="30"/>
        <v/>
      </c>
      <c r="W79" s="98" t="str">
        <f t="shared" si="12"/>
        <v/>
      </c>
      <c r="X79" s="95" t="str">
        <f t="shared" si="33"/>
        <v/>
      </c>
      <c r="Y79" s="95" t="str">
        <v/>
      </c>
      <c r="Z79" s="95" t="str">
        <f t="shared" si="31"/>
        <v/>
      </c>
      <c r="AA79" s="95" t="str">
        <f t="shared" si="13"/>
        <v/>
      </c>
      <c r="AC79" s="95" t="str">
        <f t="shared" si="14"/>
        <v/>
      </c>
      <c r="AD79" s="95" t="str">
        <f t="shared" si="15"/>
        <v/>
      </c>
      <c r="AH79" s="97"/>
      <c r="AL79" s="95" t="str">
        <f t="shared" si="16"/>
        <v/>
      </c>
      <c r="AM79" s="95" t="str">
        <f t="shared" si="17"/>
        <v/>
      </c>
      <c r="AN79" s="95" t="str">
        <f t="shared" si="18"/>
        <v/>
      </c>
      <c r="AO79" s="95" t="str">
        <f t="shared" si="19"/>
        <v/>
      </c>
      <c r="AP79" s="95" t="str">
        <f t="shared" si="20"/>
        <v/>
      </c>
      <c r="AS79" s="97" t="str">
        <f t="shared" si="23"/>
        <v/>
      </c>
      <c r="AT79" s="98" t="str">
        <f t="shared" si="24"/>
        <v/>
      </c>
      <c r="AU79" s="98" t="str">
        <f t="shared" si="25"/>
        <v/>
      </c>
      <c r="AV79" s="95" t="str">
        <f>IF(AQ79="", "", IF(AQ79=$AT$6,AU79+0.221157*(1/SQRT($AT$6))-0.147981*(1/SQRT($AT$6))^2-2.07119*(1/SQRT($AT$6))^3+4.434685*(1/SQRT($AT$6))^4-2.706056*(1/SQRT($AT$6))^5, IF(AQ79=($AT$6-1),AU79+0.042981*(1/SQRT($AT$6))-0.293762*(1/SQRT($AT$6))^2-1.752461*(1/SQRT($AT$6))^3+5.682633*(1/SQRT($AT$6))^4-3.582663*(1/SQRT($AT$6))^5,AT79/SQRT(#REF!))))</f>
        <v/>
      </c>
      <c r="AW79" s="95" t="str">
        <f t="shared" si="26"/>
        <v/>
      </c>
    </row>
    <row r="80" spans="1:49" x14ac:dyDescent="0.3">
      <c r="A80" s="4"/>
      <c r="B80" s="4"/>
      <c r="C80" s="11" t="str">
        <f t="shared" si="5"/>
        <v/>
      </c>
      <c r="D80" s="18"/>
      <c r="E80" s="64"/>
      <c r="F80" s="64"/>
      <c r="G80" s="10" t="str">
        <f t="shared" si="6"/>
        <v/>
      </c>
      <c r="H80" s="4"/>
      <c r="I80" s="4"/>
      <c r="J80" s="170" t="str">
        <f t="shared" si="27"/>
        <v/>
      </c>
      <c r="K80" s="170" t="str">
        <f t="shared" si="7"/>
        <v/>
      </c>
      <c r="L80" s="168" t="e">
        <f t="shared" si="8"/>
        <v>#N/A</v>
      </c>
      <c r="M80" s="168" t="e">
        <f t="shared" si="9"/>
        <v>#N/A</v>
      </c>
      <c r="O80" s="98" t="str">
        <f t="shared" si="28"/>
        <v/>
      </c>
      <c r="P80" s="98" t="str">
        <f t="shared" si="10"/>
        <v/>
      </c>
      <c r="Q80" s="95" t="str">
        <f t="shared" si="32"/>
        <v/>
      </c>
      <c r="R80" s="97" t="str">
        <v/>
      </c>
      <c r="S80" s="97" t="str">
        <f t="shared" si="29"/>
        <v/>
      </c>
      <c r="T80" s="95" t="str">
        <f t="shared" si="11"/>
        <v/>
      </c>
      <c r="V80" s="98" t="str">
        <f t="shared" si="30"/>
        <v/>
      </c>
      <c r="W80" s="98" t="str">
        <f t="shared" si="12"/>
        <v/>
      </c>
      <c r="X80" s="95" t="str">
        <f t="shared" si="33"/>
        <v/>
      </c>
      <c r="Y80" s="95" t="str">
        <v/>
      </c>
      <c r="Z80" s="95" t="str">
        <f t="shared" si="31"/>
        <v/>
      </c>
      <c r="AA80" s="95" t="str">
        <f t="shared" si="13"/>
        <v/>
      </c>
      <c r="AC80" s="95" t="str">
        <f t="shared" si="14"/>
        <v/>
      </c>
      <c r="AD80" s="95" t="str">
        <f t="shared" si="15"/>
        <v/>
      </c>
      <c r="AH80" s="97"/>
      <c r="AL80" s="95" t="str">
        <f t="shared" si="16"/>
        <v/>
      </c>
      <c r="AM80" s="95" t="str">
        <f t="shared" si="17"/>
        <v/>
      </c>
      <c r="AN80" s="95" t="str">
        <f t="shared" si="18"/>
        <v/>
      </c>
      <c r="AO80" s="95" t="str">
        <f t="shared" si="19"/>
        <v/>
      </c>
      <c r="AP80" s="95" t="str">
        <f t="shared" si="20"/>
        <v/>
      </c>
      <c r="AS80" s="97" t="str">
        <f t="shared" si="23"/>
        <v/>
      </c>
      <c r="AT80" s="98" t="str">
        <f t="shared" si="24"/>
        <v/>
      </c>
      <c r="AU80" s="98" t="str">
        <f t="shared" si="25"/>
        <v/>
      </c>
      <c r="AV80" s="95" t="str">
        <f>IF(AQ80="", "", IF(AQ80=$AT$6,AU80+0.221157*(1/SQRT($AT$6))-0.147981*(1/SQRT($AT$6))^2-2.07119*(1/SQRT($AT$6))^3+4.434685*(1/SQRT($AT$6))^4-2.706056*(1/SQRT($AT$6))^5, IF(AQ80=($AT$6-1),AU80+0.042981*(1/SQRT($AT$6))-0.293762*(1/SQRT($AT$6))^2-1.752461*(1/SQRT($AT$6))^3+5.682633*(1/SQRT($AT$6))^4-3.582663*(1/SQRT($AT$6))^5,AT80/SQRT(#REF!))))</f>
        <v/>
      </c>
      <c r="AW80" s="95" t="str">
        <f t="shared" si="26"/>
        <v/>
      </c>
    </row>
    <row r="81" spans="1:49" x14ac:dyDescent="0.3">
      <c r="A81" s="4"/>
      <c r="B81" s="4"/>
      <c r="C81" s="11" t="str">
        <f t="shared" si="5"/>
        <v/>
      </c>
      <c r="D81" s="18"/>
      <c r="E81" s="64"/>
      <c r="F81" s="64"/>
      <c r="G81" s="10" t="str">
        <f t="shared" si="6"/>
        <v/>
      </c>
      <c r="H81" s="4"/>
      <c r="I81" s="4"/>
      <c r="J81" s="170" t="str">
        <f t="shared" si="27"/>
        <v/>
      </c>
      <c r="K81" s="170" t="str">
        <f t="shared" si="7"/>
        <v/>
      </c>
      <c r="L81" s="168" t="e">
        <f t="shared" si="8"/>
        <v>#N/A</v>
      </c>
      <c r="M81" s="168" t="e">
        <f t="shared" si="9"/>
        <v>#N/A</v>
      </c>
      <c r="O81" s="98" t="str">
        <f t="shared" si="28"/>
        <v/>
      </c>
      <c r="P81" s="98" t="str">
        <f t="shared" si="10"/>
        <v/>
      </c>
      <c r="Q81" s="95" t="str">
        <f t="shared" si="32"/>
        <v/>
      </c>
      <c r="R81" s="97" t="str">
        <v/>
      </c>
      <c r="S81" s="97" t="str">
        <f t="shared" si="29"/>
        <v/>
      </c>
      <c r="T81" s="95" t="str">
        <f t="shared" si="11"/>
        <v/>
      </c>
      <c r="V81" s="98" t="str">
        <f t="shared" si="30"/>
        <v/>
      </c>
      <c r="W81" s="98" t="str">
        <f t="shared" si="12"/>
        <v/>
      </c>
      <c r="X81" s="95" t="str">
        <f t="shared" si="33"/>
        <v/>
      </c>
      <c r="Y81" s="95" t="str">
        <v/>
      </c>
      <c r="Z81" s="95" t="str">
        <f t="shared" si="31"/>
        <v/>
      </c>
      <c r="AA81" s="95" t="str">
        <f t="shared" si="13"/>
        <v/>
      </c>
      <c r="AC81" s="95" t="str">
        <f t="shared" si="14"/>
        <v/>
      </c>
      <c r="AD81" s="95" t="str">
        <f t="shared" si="15"/>
        <v/>
      </c>
      <c r="AH81" s="97"/>
      <c r="AL81" s="95" t="str">
        <f t="shared" si="16"/>
        <v/>
      </c>
      <c r="AM81" s="95" t="str">
        <f t="shared" si="17"/>
        <v/>
      </c>
      <c r="AN81" s="95" t="str">
        <f t="shared" si="18"/>
        <v/>
      </c>
      <c r="AO81" s="95" t="str">
        <f t="shared" si="19"/>
        <v/>
      </c>
      <c r="AP81" s="95" t="str">
        <f t="shared" si="20"/>
        <v/>
      </c>
      <c r="AS81" s="97" t="str">
        <f t="shared" ref="AS81:AS105" si="34">IF(AR81&lt;&gt;"",(AR81-AVERAGE($AT$9:$AT$119))^2, "")</f>
        <v/>
      </c>
      <c r="AT81" s="98" t="str">
        <f t="shared" ref="AT81:AT105" si="35">IF(AQ81&lt;&gt;"", _xlfn.NORM.S.INV((AQ81-0.375)/($AT$6+0.25)), "")</f>
        <v/>
      </c>
      <c r="AU81" s="98" t="str">
        <f t="shared" ref="AU81:AU105" si="36">IF(AQ81&lt;&gt;"", (SUMSQ($AV$9:$AV$119))^(-0.5)*AT81, "")</f>
        <v/>
      </c>
      <c r="AV81" s="95" t="str">
        <f>IF(AQ81="", "", IF(AQ81=$AT$6,AU81+0.221157*(1/SQRT($AT$6))-0.147981*(1/SQRT($AT$6))^2-2.07119*(1/SQRT($AT$6))^3+4.434685*(1/SQRT($AT$6))^4-2.706056*(1/SQRT($AT$6))^5, IF(AQ81=($AT$6-1),AU81+0.042981*(1/SQRT($AT$6))-0.293762*(1/SQRT($AT$6))^2-1.752461*(1/SQRT($AT$6))^3+5.682633*(1/SQRT($AT$6))^4-3.582663*(1/SQRT($AT$6))^5,AT81/SQRT(#REF!))))</f>
        <v/>
      </c>
      <c r="AW81" s="95" t="str">
        <f t="shared" ref="AW81:AW105" si="37">IF(AQ81="", "", AV81*AR81)</f>
        <v/>
      </c>
    </row>
    <row r="82" spans="1:49" x14ac:dyDescent="0.3">
      <c r="A82" s="4"/>
      <c r="B82" s="4"/>
      <c r="C82" s="11" t="str">
        <f t="shared" si="5"/>
        <v/>
      </c>
      <c r="D82" s="18"/>
      <c r="E82" s="64"/>
      <c r="F82" s="64"/>
      <c r="G82" s="10" t="str">
        <f t="shared" si="6"/>
        <v/>
      </c>
      <c r="H82" s="4"/>
      <c r="I82" s="4"/>
      <c r="J82" s="170" t="str">
        <f t="shared" si="27"/>
        <v/>
      </c>
      <c r="K82" s="170" t="str">
        <f t="shared" si="7"/>
        <v/>
      </c>
      <c r="L82" s="168" t="e">
        <f t="shared" si="8"/>
        <v>#N/A</v>
      </c>
      <c r="M82" s="168" t="e">
        <f t="shared" si="9"/>
        <v>#N/A</v>
      </c>
      <c r="O82" s="98" t="str">
        <f t="shared" si="28"/>
        <v/>
      </c>
      <c r="P82" s="98" t="str">
        <f t="shared" si="10"/>
        <v/>
      </c>
      <c r="Q82" s="95" t="str">
        <f t="shared" si="32"/>
        <v/>
      </c>
      <c r="R82" s="97" t="str">
        <v/>
      </c>
      <c r="S82" s="97" t="str">
        <f t="shared" si="29"/>
        <v/>
      </c>
      <c r="T82" s="95" t="str">
        <f t="shared" si="11"/>
        <v/>
      </c>
      <c r="V82" s="98" t="str">
        <f t="shared" si="30"/>
        <v/>
      </c>
      <c r="W82" s="98" t="str">
        <f t="shared" si="12"/>
        <v/>
      </c>
      <c r="X82" s="95" t="str">
        <f t="shared" si="33"/>
        <v/>
      </c>
      <c r="Y82" s="95" t="str">
        <v/>
      </c>
      <c r="Z82" s="95" t="str">
        <f t="shared" si="31"/>
        <v/>
      </c>
      <c r="AA82" s="95" t="str">
        <f t="shared" si="13"/>
        <v/>
      </c>
      <c r="AC82" s="95" t="str">
        <f t="shared" si="14"/>
        <v/>
      </c>
      <c r="AD82" s="95" t="str">
        <f t="shared" si="15"/>
        <v/>
      </c>
      <c r="AH82" s="97"/>
      <c r="AL82" s="95" t="str">
        <f t="shared" si="16"/>
        <v/>
      </c>
      <c r="AM82" s="95" t="str">
        <f t="shared" si="17"/>
        <v/>
      </c>
      <c r="AN82" s="95" t="str">
        <f t="shared" si="18"/>
        <v/>
      </c>
      <c r="AO82" s="95" t="str">
        <f t="shared" si="19"/>
        <v/>
      </c>
      <c r="AP82" s="95" t="str">
        <f t="shared" si="20"/>
        <v/>
      </c>
      <c r="AS82" s="97" t="str">
        <f t="shared" si="34"/>
        <v/>
      </c>
      <c r="AT82" s="98" t="str">
        <f t="shared" si="35"/>
        <v/>
      </c>
      <c r="AU82" s="98" t="str">
        <f t="shared" si="36"/>
        <v/>
      </c>
      <c r="AV82" s="95" t="str">
        <f>IF(AQ82="", "", IF(AQ82=$AT$6,AU82+0.221157*(1/SQRT($AT$6))-0.147981*(1/SQRT($AT$6))^2-2.07119*(1/SQRT($AT$6))^3+4.434685*(1/SQRT($AT$6))^4-2.706056*(1/SQRT($AT$6))^5, IF(AQ82=($AT$6-1),AU82+0.042981*(1/SQRT($AT$6))-0.293762*(1/SQRT($AT$6))^2-1.752461*(1/SQRT($AT$6))^3+5.682633*(1/SQRT($AT$6))^4-3.582663*(1/SQRT($AT$6))^5,AT82/SQRT(#REF!))))</f>
        <v/>
      </c>
      <c r="AW82" s="95" t="str">
        <f t="shared" si="37"/>
        <v/>
      </c>
    </row>
    <row r="83" spans="1:49" x14ac:dyDescent="0.3">
      <c r="A83" s="4"/>
      <c r="B83" s="4"/>
      <c r="C83" s="11" t="str">
        <f t="shared" si="5"/>
        <v/>
      </c>
      <c r="D83" s="18"/>
      <c r="E83" s="64"/>
      <c r="F83" s="64"/>
      <c r="G83" s="10" t="str">
        <f t="shared" si="6"/>
        <v/>
      </c>
      <c r="H83" s="4"/>
      <c r="I83" s="4"/>
      <c r="J83" s="170" t="str">
        <f t="shared" si="27"/>
        <v/>
      </c>
      <c r="K83" s="170" t="str">
        <f t="shared" si="7"/>
        <v/>
      </c>
      <c r="L83" s="168" t="e">
        <f t="shared" si="8"/>
        <v>#N/A</v>
      </c>
      <c r="M83" s="168" t="e">
        <f t="shared" si="9"/>
        <v>#N/A</v>
      </c>
      <c r="O83" s="98" t="str">
        <f t="shared" si="28"/>
        <v/>
      </c>
      <c r="P83" s="98" t="str">
        <f t="shared" si="10"/>
        <v/>
      </c>
      <c r="Q83" s="95" t="str">
        <f t="shared" si="32"/>
        <v/>
      </c>
      <c r="R83" s="97" t="str">
        <v/>
      </c>
      <c r="S83" s="97" t="str">
        <f t="shared" si="29"/>
        <v/>
      </c>
      <c r="T83" s="95" t="str">
        <f t="shared" si="11"/>
        <v/>
      </c>
      <c r="V83" s="98" t="str">
        <f t="shared" si="30"/>
        <v/>
      </c>
      <c r="W83" s="98" t="str">
        <f t="shared" si="12"/>
        <v/>
      </c>
      <c r="X83" s="95" t="str">
        <f t="shared" si="33"/>
        <v/>
      </c>
      <c r="Y83" s="95" t="str">
        <v/>
      </c>
      <c r="Z83" s="95" t="str">
        <f t="shared" si="31"/>
        <v/>
      </c>
      <c r="AA83" s="95" t="str">
        <f t="shared" si="13"/>
        <v/>
      </c>
      <c r="AC83" s="95" t="str">
        <f t="shared" si="14"/>
        <v/>
      </c>
      <c r="AD83" s="95" t="str">
        <f t="shared" si="15"/>
        <v/>
      </c>
      <c r="AH83" s="97"/>
      <c r="AL83" s="95" t="str">
        <f t="shared" si="16"/>
        <v/>
      </c>
      <c r="AM83" s="95" t="str">
        <f t="shared" si="17"/>
        <v/>
      </c>
      <c r="AN83" s="95" t="str">
        <f t="shared" si="18"/>
        <v/>
      </c>
      <c r="AO83" s="95" t="str">
        <f t="shared" si="19"/>
        <v/>
      </c>
      <c r="AP83" s="95" t="str">
        <f t="shared" si="20"/>
        <v/>
      </c>
      <c r="AS83" s="97" t="str">
        <f t="shared" si="34"/>
        <v/>
      </c>
      <c r="AT83" s="98" t="str">
        <f t="shared" si="35"/>
        <v/>
      </c>
      <c r="AU83" s="98" t="str">
        <f t="shared" si="36"/>
        <v/>
      </c>
      <c r="AV83" s="95" t="str">
        <f>IF(AQ83="", "", IF(AQ83=$AT$6,AU83+0.221157*(1/SQRT($AT$6))-0.147981*(1/SQRT($AT$6))^2-2.07119*(1/SQRT($AT$6))^3+4.434685*(1/SQRT($AT$6))^4-2.706056*(1/SQRT($AT$6))^5, IF(AQ83=($AT$6-1),AU83+0.042981*(1/SQRT($AT$6))-0.293762*(1/SQRT($AT$6))^2-1.752461*(1/SQRT($AT$6))^3+5.682633*(1/SQRT($AT$6))^4-3.582663*(1/SQRT($AT$6))^5,AT83/SQRT(#REF!))))</f>
        <v/>
      </c>
      <c r="AW83" s="95" t="str">
        <f t="shared" si="37"/>
        <v/>
      </c>
    </row>
    <row r="84" spans="1:49" x14ac:dyDescent="0.3">
      <c r="A84" s="4"/>
      <c r="B84" s="4"/>
      <c r="C84" s="11" t="str">
        <f t="shared" si="5"/>
        <v/>
      </c>
      <c r="D84" s="18"/>
      <c r="E84" s="64"/>
      <c r="F84" s="64"/>
      <c r="G84" s="10" t="str">
        <f t="shared" si="6"/>
        <v/>
      </c>
      <c r="H84" s="4"/>
      <c r="I84" s="4"/>
      <c r="J84" s="170" t="str">
        <f t="shared" si="27"/>
        <v/>
      </c>
      <c r="K84" s="170" t="str">
        <f t="shared" si="7"/>
        <v/>
      </c>
      <c r="L84" s="168" t="e">
        <f t="shared" si="8"/>
        <v>#N/A</v>
      </c>
      <c r="M84" s="168" t="e">
        <f t="shared" si="9"/>
        <v>#N/A</v>
      </c>
      <c r="O84" s="98" t="str">
        <f t="shared" si="28"/>
        <v/>
      </c>
      <c r="P84" s="98" t="str">
        <f t="shared" si="10"/>
        <v/>
      </c>
      <c r="Q84" s="95" t="str">
        <f t="shared" si="32"/>
        <v/>
      </c>
      <c r="R84" s="97" t="str">
        <v/>
      </c>
      <c r="S84" s="97" t="str">
        <f t="shared" si="29"/>
        <v/>
      </c>
      <c r="T84" s="95" t="str">
        <f t="shared" si="11"/>
        <v/>
      </c>
      <c r="V84" s="98" t="str">
        <f t="shared" si="30"/>
        <v/>
      </c>
      <c r="W84" s="98" t="str">
        <f t="shared" si="12"/>
        <v/>
      </c>
      <c r="X84" s="95" t="str">
        <f t="shared" si="33"/>
        <v/>
      </c>
      <c r="Y84" s="95" t="str">
        <v/>
      </c>
      <c r="Z84" s="95" t="str">
        <f t="shared" si="31"/>
        <v/>
      </c>
      <c r="AA84" s="95" t="str">
        <f t="shared" si="13"/>
        <v/>
      </c>
      <c r="AC84" s="95" t="str">
        <f t="shared" si="14"/>
        <v/>
      </c>
      <c r="AD84" s="95" t="str">
        <f t="shared" si="15"/>
        <v/>
      </c>
      <c r="AH84" s="97"/>
      <c r="AL84" s="95" t="str">
        <f t="shared" si="16"/>
        <v/>
      </c>
      <c r="AM84" s="95" t="str">
        <f t="shared" si="17"/>
        <v/>
      </c>
      <c r="AN84" s="95" t="str">
        <f t="shared" si="18"/>
        <v/>
      </c>
      <c r="AO84" s="95" t="str">
        <f t="shared" si="19"/>
        <v/>
      </c>
      <c r="AP84" s="95" t="str">
        <f t="shared" si="20"/>
        <v/>
      </c>
      <c r="AS84" s="97" t="str">
        <f t="shared" si="34"/>
        <v/>
      </c>
      <c r="AT84" s="98" t="str">
        <f t="shared" si="35"/>
        <v/>
      </c>
      <c r="AU84" s="98" t="str">
        <f t="shared" si="36"/>
        <v/>
      </c>
      <c r="AV84" s="95" t="str">
        <f>IF(AQ84="", "", IF(AQ84=$AT$6,AU84+0.221157*(1/SQRT($AT$6))-0.147981*(1/SQRT($AT$6))^2-2.07119*(1/SQRT($AT$6))^3+4.434685*(1/SQRT($AT$6))^4-2.706056*(1/SQRT($AT$6))^5, IF(AQ84=($AT$6-1),AU84+0.042981*(1/SQRT($AT$6))-0.293762*(1/SQRT($AT$6))^2-1.752461*(1/SQRT($AT$6))^3+5.682633*(1/SQRT($AT$6))^4-3.582663*(1/SQRT($AT$6))^5,AT84/SQRT(#REF!))))</f>
        <v/>
      </c>
      <c r="AW84" s="95" t="str">
        <f t="shared" si="37"/>
        <v/>
      </c>
    </row>
    <row r="85" spans="1:49" x14ac:dyDescent="0.3">
      <c r="A85" s="4"/>
      <c r="B85" s="4"/>
      <c r="C85" s="11" t="str">
        <f t="shared" si="5"/>
        <v/>
      </c>
      <c r="D85" s="18"/>
      <c r="E85" s="64"/>
      <c r="F85" s="64"/>
      <c r="G85" s="10" t="str">
        <f t="shared" si="6"/>
        <v/>
      </c>
      <c r="H85" s="4"/>
      <c r="I85" s="4"/>
      <c r="J85" s="170" t="str">
        <f t="shared" si="27"/>
        <v/>
      </c>
      <c r="K85" s="170" t="str">
        <f t="shared" si="7"/>
        <v/>
      </c>
      <c r="L85" s="168" t="e">
        <f t="shared" si="8"/>
        <v>#N/A</v>
      </c>
      <c r="M85" s="168" t="e">
        <f t="shared" si="9"/>
        <v>#N/A</v>
      </c>
      <c r="O85" s="98" t="str">
        <f t="shared" si="28"/>
        <v/>
      </c>
      <c r="P85" s="98" t="str">
        <f t="shared" si="10"/>
        <v/>
      </c>
      <c r="Q85" s="95" t="str">
        <f t="shared" si="32"/>
        <v/>
      </c>
      <c r="R85" s="97" t="str">
        <v/>
      </c>
      <c r="S85" s="97" t="str">
        <f t="shared" si="29"/>
        <v/>
      </c>
      <c r="T85" s="95" t="str">
        <f t="shared" si="11"/>
        <v/>
      </c>
      <c r="V85" s="98" t="str">
        <f t="shared" si="30"/>
        <v/>
      </c>
      <c r="W85" s="98" t="str">
        <f t="shared" si="12"/>
        <v/>
      </c>
      <c r="X85" s="95" t="str">
        <f t="shared" si="33"/>
        <v/>
      </c>
      <c r="Y85" s="95" t="str">
        <v/>
      </c>
      <c r="Z85" s="95" t="str">
        <f t="shared" si="31"/>
        <v/>
      </c>
      <c r="AA85" s="95" t="str">
        <f t="shared" si="13"/>
        <v/>
      </c>
      <c r="AC85" s="95" t="str">
        <f t="shared" si="14"/>
        <v/>
      </c>
      <c r="AD85" s="95" t="str">
        <f t="shared" si="15"/>
        <v/>
      </c>
      <c r="AH85" s="97"/>
      <c r="AL85" s="95" t="str">
        <f t="shared" si="16"/>
        <v/>
      </c>
      <c r="AM85" s="95" t="str">
        <f t="shared" si="17"/>
        <v/>
      </c>
      <c r="AN85" s="95" t="str">
        <f t="shared" si="18"/>
        <v/>
      </c>
      <c r="AO85" s="95" t="str">
        <f t="shared" si="19"/>
        <v/>
      </c>
      <c r="AP85" s="95" t="str">
        <f t="shared" si="20"/>
        <v/>
      </c>
      <c r="AS85" s="97" t="str">
        <f t="shared" si="34"/>
        <v/>
      </c>
      <c r="AT85" s="98" t="str">
        <f t="shared" si="35"/>
        <v/>
      </c>
      <c r="AU85" s="98" t="str">
        <f t="shared" si="36"/>
        <v/>
      </c>
      <c r="AV85" s="95" t="str">
        <f>IF(AQ85="", "", IF(AQ85=$AT$6,AU85+0.221157*(1/SQRT($AT$6))-0.147981*(1/SQRT($AT$6))^2-2.07119*(1/SQRT($AT$6))^3+4.434685*(1/SQRT($AT$6))^4-2.706056*(1/SQRT($AT$6))^5, IF(AQ85=($AT$6-1),AU85+0.042981*(1/SQRT($AT$6))-0.293762*(1/SQRT($AT$6))^2-1.752461*(1/SQRT($AT$6))^3+5.682633*(1/SQRT($AT$6))^4-3.582663*(1/SQRT($AT$6))^5,AT85/SQRT(#REF!))))</f>
        <v/>
      </c>
      <c r="AW85" s="95" t="str">
        <f t="shared" si="37"/>
        <v/>
      </c>
    </row>
    <row r="86" spans="1:49" x14ac:dyDescent="0.3">
      <c r="A86" s="4"/>
      <c r="B86" s="4"/>
      <c r="C86" s="11" t="str">
        <f t="shared" si="5"/>
        <v/>
      </c>
      <c r="D86" s="18"/>
      <c r="E86" s="64"/>
      <c r="F86" s="64"/>
      <c r="G86" s="10" t="str">
        <f t="shared" si="6"/>
        <v/>
      </c>
      <c r="H86" s="4"/>
      <c r="I86" s="4"/>
      <c r="J86" s="170" t="str">
        <f t="shared" si="27"/>
        <v/>
      </c>
      <c r="K86" s="170" t="str">
        <f t="shared" si="7"/>
        <v/>
      </c>
      <c r="L86" s="168" t="e">
        <f t="shared" si="8"/>
        <v>#N/A</v>
      </c>
      <c r="M86" s="168" t="e">
        <f t="shared" si="9"/>
        <v>#N/A</v>
      </c>
      <c r="O86" s="98" t="str">
        <f t="shared" si="28"/>
        <v/>
      </c>
      <c r="P86" s="98" t="str">
        <f t="shared" si="10"/>
        <v/>
      </c>
      <c r="Q86" s="95" t="str">
        <f t="shared" si="32"/>
        <v/>
      </c>
      <c r="R86" s="97" t="str">
        <v/>
      </c>
      <c r="S86" s="97" t="str">
        <f t="shared" si="29"/>
        <v/>
      </c>
      <c r="T86" s="95" t="str">
        <f t="shared" si="11"/>
        <v/>
      </c>
      <c r="V86" s="98" t="str">
        <f t="shared" si="30"/>
        <v/>
      </c>
      <c r="W86" s="98" t="str">
        <f t="shared" si="12"/>
        <v/>
      </c>
      <c r="X86" s="95" t="str">
        <f t="shared" si="33"/>
        <v/>
      </c>
      <c r="Y86" s="95" t="str">
        <v/>
      </c>
      <c r="Z86" s="95" t="str">
        <f t="shared" si="31"/>
        <v/>
      </c>
      <c r="AA86" s="95" t="str">
        <f t="shared" si="13"/>
        <v/>
      </c>
      <c r="AC86" s="95" t="str">
        <f t="shared" si="14"/>
        <v/>
      </c>
      <c r="AD86" s="95" t="str">
        <f t="shared" si="15"/>
        <v/>
      </c>
      <c r="AH86" s="97"/>
      <c r="AL86" s="95" t="str">
        <f t="shared" si="16"/>
        <v/>
      </c>
      <c r="AM86" s="95" t="str">
        <f t="shared" si="17"/>
        <v/>
      </c>
      <c r="AN86" s="95" t="str">
        <f t="shared" si="18"/>
        <v/>
      </c>
      <c r="AO86" s="95" t="str">
        <f t="shared" si="19"/>
        <v/>
      </c>
      <c r="AP86" s="95" t="str">
        <f t="shared" si="20"/>
        <v/>
      </c>
      <c r="AS86" s="97" t="str">
        <f t="shared" si="34"/>
        <v/>
      </c>
      <c r="AT86" s="98" t="str">
        <f t="shared" si="35"/>
        <v/>
      </c>
      <c r="AU86" s="98" t="str">
        <f t="shared" si="36"/>
        <v/>
      </c>
      <c r="AV86" s="95" t="str">
        <f>IF(AQ86="", "", IF(AQ86=$AT$6,AU86+0.221157*(1/SQRT($AT$6))-0.147981*(1/SQRT($AT$6))^2-2.07119*(1/SQRT($AT$6))^3+4.434685*(1/SQRT($AT$6))^4-2.706056*(1/SQRT($AT$6))^5, IF(AQ86=($AT$6-1),AU86+0.042981*(1/SQRT($AT$6))-0.293762*(1/SQRT($AT$6))^2-1.752461*(1/SQRT($AT$6))^3+5.682633*(1/SQRT($AT$6))^4-3.582663*(1/SQRT($AT$6))^5,AT86/SQRT(#REF!))))</f>
        <v/>
      </c>
      <c r="AW86" s="95" t="str">
        <f t="shared" si="37"/>
        <v/>
      </c>
    </row>
    <row r="87" spans="1:49" x14ac:dyDescent="0.3">
      <c r="A87" s="4"/>
      <c r="B87" s="4"/>
      <c r="C87" s="11" t="str">
        <f t="shared" si="5"/>
        <v/>
      </c>
      <c r="D87" s="18"/>
      <c r="E87" s="64"/>
      <c r="F87" s="64"/>
      <c r="G87" s="10" t="str">
        <f t="shared" si="6"/>
        <v/>
      </c>
      <c r="H87" s="4"/>
      <c r="I87" s="4"/>
      <c r="J87" s="170" t="str">
        <f t="shared" si="27"/>
        <v/>
      </c>
      <c r="K87" s="170" t="str">
        <f t="shared" si="7"/>
        <v/>
      </c>
      <c r="L87" s="168" t="e">
        <f t="shared" si="8"/>
        <v>#N/A</v>
      </c>
      <c r="M87" s="168" t="e">
        <f t="shared" si="9"/>
        <v>#N/A</v>
      </c>
      <c r="O87" s="98" t="str">
        <f t="shared" si="28"/>
        <v/>
      </c>
      <c r="P87" s="98" t="str">
        <f t="shared" si="10"/>
        <v/>
      </c>
      <c r="Q87" s="95" t="str">
        <f t="shared" si="32"/>
        <v/>
      </c>
      <c r="R87" s="97" t="str">
        <v/>
      </c>
      <c r="S87" s="97" t="str">
        <f t="shared" si="29"/>
        <v/>
      </c>
      <c r="T87" s="95" t="str">
        <f t="shared" si="11"/>
        <v/>
      </c>
      <c r="V87" s="98" t="str">
        <f t="shared" si="30"/>
        <v/>
      </c>
      <c r="W87" s="98" t="str">
        <f t="shared" si="12"/>
        <v/>
      </c>
      <c r="X87" s="95" t="str">
        <f t="shared" si="33"/>
        <v/>
      </c>
      <c r="Y87" s="95" t="str">
        <v/>
      </c>
      <c r="Z87" s="95" t="str">
        <f t="shared" si="31"/>
        <v/>
      </c>
      <c r="AA87" s="95" t="str">
        <f t="shared" si="13"/>
        <v/>
      </c>
      <c r="AC87" s="95" t="str">
        <f t="shared" si="14"/>
        <v/>
      </c>
      <c r="AD87" s="95" t="str">
        <f t="shared" si="15"/>
        <v/>
      </c>
      <c r="AH87" s="97"/>
      <c r="AL87" s="95" t="str">
        <f t="shared" si="16"/>
        <v/>
      </c>
      <c r="AM87" s="95" t="str">
        <f t="shared" si="17"/>
        <v/>
      </c>
      <c r="AN87" s="95" t="str">
        <f t="shared" si="18"/>
        <v/>
      </c>
      <c r="AO87" s="95" t="str">
        <f t="shared" si="19"/>
        <v/>
      </c>
      <c r="AP87" s="95" t="str">
        <f t="shared" si="20"/>
        <v/>
      </c>
      <c r="AS87" s="97" t="str">
        <f t="shared" si="34"/>
        <v/>
      </c>
      <c r="AT87" s="98" t="str">
        <f t="shared" si="35"/>
        <v/>
      </c>
      <c r="AU87" s="98" t="str">
        <f t="shared" si="36"/>
        <v/>
      </c>
      <c r="AV87" s="95" t="str">
        <f>IF(AQ87="", "", IF(AQ87=$AT$6,AU87+0.221157*(1/SQRT($AT$6))-0.147981*(1/SQRT($AT$6))^2-2.07119*(1/SQRT($AT$6))^3+4.434685*(1/SQRT($AT$6))^4-2.706056*(1/SQRT($AT$6))^5, IF(AQ87=($AT$6-1),AU87+0.042981*(1/SQRT($AT$6))-0.293762*(1/SQRT($AT$6))^2-1.752461*(1/SQRT($AT$6))^3+5.682633*(1/SQRT($AT$6))^4-3.582663*(1/SQRT($AT$6))^5,AT87/SQRT(#REF!))))</f>
        <v/>
      </c>
      <c r="AW87" s="95" t="str">
        <f t="shared" si="37"/>
        <v/>
      </c>
    </row>
    <row r="88" spans="1:49" x14ac:dyDescent="0.3">
      <c r="A88" s="4"/>
      <c r="B88" s="4"/>
      <c r="C88" s="11" t="str">
        <f t="shared" si="5"/>
        <v/>
      </c>
      <c r="D88" s="18"/>
      <c r="E88" s="64"/>
      <c r="F88" s="64"/>
      <c r="G88" s="10" t="str">
        <f t="shared" si="6"/>
        <v/>
      </c>
      <c r="H88" s="4"/>
      <c r="I88" s="4"/>
      <c r="J88" s="170" t="str">
        <f t="shared" si="27"/>
        <v/>
      </c>
      <c r="K88" s="170" t="str">
        <f t="shared" si="7"/>
        <v/>
      </c>
      <c r="L88" s="168" t="e">
        <f t="shared" si="8"/>
        <v>#N/A</v>
      </c>
      <c r="M88" s="168" t="e">
        <f t="shared" si="9"/>
        <v>#N/A</v>
      </c>
      <c r="O88" s="98" t="str">
        <f t="shared" si="28"/>
        <v/>
      </c>
      <c r="P88" s="98" t="str">
        <f t="shared" si="10"/>
        <v/>
      </c>
      <c r="Q88" s="95" t="str">
        <f t="shared" si="32"/>
        <v/>
      </c>
      <c r="R88" s="97" t="str">
        <v/>
      </c>
      <c r="S88" s="97" t="str">
        <f t="shared" si="29"/>
        <v/>
      </c>
      <c r="T88" s="95" t="str">
        <f t="shared" si="11"/>
        <v/>
      </c>
      <c r="V88" s="98" t="str">
        <f t="shared" si="30"/>
        <v/>
      </c>
      <c r="W88" s="98" t="str">
        <f t="shared" si="12"/>
        <v/>
      </c>
      <c r="X88" s="95" t="str">
        <f t="shared" si="33"/>
        <v/>
      </c>
      <c r="Y88" s="95" t="str">
        <v/>
      </c>
      <c r="Z88" s="95" t="str">
        <f t="shared" si="31"/>
        <v/>
      </c>
      <c r="AA88" s="95" t="str">
        <f t="shared" si="13"/>
        <v/>
      </c>
      <c r="AC88" s="95" t="str">
        <f t="shared" si="14"/>
        <v/>
      </c>
      <c r="AD88" s="95" t="str">
        <f t="shared" si="15"/>
        <v/>
      </c>
      <c r="AH88" s="97"/>
      <c r="AL88" s="95" t="str">
        <f t="shared" si="16"/>
        <v/>
      </c>
      <c r="AM88" s="95" t="str">
        <f t="shared" si="17"/>
        <v/>
      </c>
      <c r="AN88" s="95" t="str">
        <f t="shared" si="18"/>
        <v/>
      </c>
      <c r="AO88" s="95" t="str">
        <f t="shared" si="19"/>
        <v/>
      </c>
      <c r="AP88" s="95" t="str">
        <f t="shared" si="20"/>
        <v/>
      </c>
      <c r="AS88" s="97" t="str">
        <f t="shared" si="34"/>
        <v/>
      </c>
      <c r="AT88" s="98" t="str">
        <f t="shared" si="35"/>
        <v/>
      </c>
      <c r="AU88" s="98" t="str">
        <f t="shared" si="36"/>
        <v/>
      </c>
      <c r="AV88" s="95" t="str">
        <f>IF(AQ88="", "", IF(AQ88=$AT$6,AU88+0.221157*(1/SQRT($AT$6))-0.147981*(1/SQRT($AT$6))^2-2.07119*(1/SQRT($AT$6))^3+4.434685*(1/SQRT($AT$6))^4-2.706056*(1/SQRT($AT$6))^5, IF(AQ88=($AT$6-1),AU88+0.042981*(1/SQRT($AT$6))-0.293762*(1/SQRT($AT$6))^2-1.752461*(1/SQRT($AT$6))^3+5.682633*(1/SQRT($AT$6))^4-3.582663*(1/SQRT($AT$6))^5,AT88/SQRT(#REF!))))</f>
        <v/>
      </c>
      <c r="AW88" s="95" t="str">
        <f t="shared" si="37"/>
        <v/>
      </c>
    </row>
    <row r="89" spans="1:49" x14ac:dyDescent="0.3">
      <c r="A89" s="4"/>
      <c r="B89" s="4"/>
      <c r="C89" s="11" t="str">
        <f t="shared" si="5"/>
        <v/>
      </c>
      <c r="D89" s="18"/>
      <c r="E89" s="64"/>
      <c r="F89" s="64"/>
      <c r="G89" s="10" t="str">
        <f t="shared" si="6"/>
        <v/>
      </c>
      <c r="H89" s="4"/>
      <c r="I89" s="4"/>
      <c r="J89" s="170" t="str">
        <f t="shared" si="27"/>
        <v/>
      </c>
      <c r="K89" s="170" t="str">
        <f t="shared" si="7"/>
        <v/>
      </c>
      <c r="L89" s="168" t="e">
        <f t="shared" si="8"/>
        <v>#N/A</v>
      </c>
      <c r="M89" s="168" t="e">
        <f t="shared" si="9"/>
        <v>#N/A</v>
      </c>
      <c r="O89" s="98" t="str">
        <f t="shared" si="28"/>
        <v/>
      </c>
      <c r="P89" s="98" t="str">
        <f t="shared" si="10"/>
        <v/>
      </c>
      <c r="Q89" s="95" t="str">
        <f t="shared" si="32"/>
        <v/>
      </c>
      <c r="R89" s="97" t="str">
        <v/>
      </c>
      <c r="S89" s="97" t="str">
        <f t="shared" si="29"/>
        <v/>
      </c>
      <c r="T89" s="95" t="str">
        <f t="shared" si="11"/>
        <v/>
      </c>
      <c r="V89" s="98" t="str">
        <f t="shared" si="30"/>
        <v/>
      </c>
      <c r="W89" s="98" t="str">
        <f t="shared" si="12"/>
        <v/>
      </c>
      <c r="X89" s="95" t="str">
        <f t="shared" si="33"/>
        <v/>
      </c>
      <c r="Y89" s="95" t="str">
        <v/>
      </c>
      <c r="Z89" s="95" t="str">
        <f t="shared" si="31"/>
        <v/>
      </c>
      <c r="AA89" s="95" t="str">
        <f t="shared" si="13"/>
        <v/>
      </c>
      <c r="AC89" s="95" t="str">
        <f t="shared" si="14"/>
        <v/>
      </c>
      <c r="AD89" s="95" t="str">
        <f t="shared" si="15"/>
        <v/>
      </c>
      <c r="AH89" s="97"/>
      <c r="AL89" s="95" t="str">
        <f t="shared" si="16"/>
        <v/>
      </c>
      <c r="AM89" s="95" t="str">
        <f t="shared" si="17"/>
        <v/>
      </c>
      <c r="AN89" s="95" t="str">
        <f t="shared" si="18"/>
        <v/>
      </c>
      <c r="AO89" s="95" t="str">
        <f t="shared" si="19"/>
        <v/>
      </c>
      <c r="AP89" s="95" t="str">
        <f t="shared" si="20"/>
        <v/>
      </c>
      <c r="AS89" s="97" t="str">
        <f t="shared" si="34"/>
        <v/>
      </c>
      <c r="AT89" s="98" t="str">
        <f t="shared" si="35"/>
        <v/>
      </c>
      <c r="AU89" s="98" t="str">
        <f t="shared" si="36"/>
        <v/>
      </c>
      <c r="AV89" s="95" t="str">
        <f>IF(AQ89="", "", IF(AQ89=$AT$6,AU89+0.221157*(1/SQRT($AT$6))-0.147981*(1/SQRT($AT$6))^2-2.07119*(1/SQRT($AT$6))^3+4.434685*(1/SQRT($AT$6))^4-2.706056*(1/SQRT($AT$6))^5, IF(AQ89=($AT$6-1),AU89+0.042981*(1/SQRT($AT$6))-0.293762*(1/SQRT($AT$6))^2-1.752461*(1/SQRT($AT$6))^3+5.682633*(1/SQRT($AT$6))^4-3.582663*(1/SQRT($AT$6))^5,AT89/SQRT(#REF!))))</f>
        <v/>
      </c>
      <c r="AW89" s="95" t="str">
        <f t="shared" si="37"/>
        <v/>
      </c>
    </row>
    <row r="90" spans="1:49" x14ac:dyDescent="0.3">
      <c r="A90" s="4"/>
      <c r="B90" s="4"/>
      <c r="C90" s="11" t="str">
        <f t="shared" si="5"/>
        <v/>
      </c>
      <c r="D90" s="18"/>
      <c r="E90" s="64"/>
      <c r="F90" s="64"/>
      <c r="G90" s="10" t="str">
        <f t="shared" si="6"/>
        <v/>
      </c>
      <c r="H90" s="4"/>
      <c r="I90" s="4"/>
      <c r="J90" s="170" t="str">
        <f t="shared" si="27"/>
        <v/>
      </c>
      <c r="K90" s="170" t="str">
        <f t="shared" si="7"/>
        <v/>
      </c>
      <c r="L90" s="168" t="e">
        <f t="shared" si="8"/>
        <v>#N/A</v>
      </c>
      <c r="M90" s="168" t="e">
        <f t="shared" si="9"/>
        <v>#N/A</v>
      </c>
      <c r="O90" s="98" t="str">
        <f t="shared" si="28"/>
        <v/>
      </c>
      <c r="P90" s="98" t="str">
        <f t="shared" si="10"/>
        <v/>
      </c>
      <c r="Q90" s="95" t="str">
        <f t="shared" si="32"/>
        <v/>
      </c>
      <c r="R90" s="97" t="str">
        <v/>
      </c>
      <c r="S90" s="97" t="str">
        <f t="shared" si="29"/>
        <v/>
      </c>
      <c r="T90" s="95" t="str">
        <f t="shared" si="11"/>
        <v/>
      </c>
      <c r="V90" s="98" t="str">
        <f t="shared" si="30"/>
        <v/>
      </c>
      <c r="W90" s="98" t="str">
        <f t="shared" si="12"/>
        <v/>
      </c>
      <c r="X90" s="95" t="str">
        <f t="shared" si="33"/>
        <v/>
      </c>
      <c r="Y90" s="95" t="str">
        <v/>
      </c>
      <c r="Z90" s="95" t="str">
        <f t="shared" si="31"/>
        <v/>
      </c>
      <c r="AA90" s="95" t="str">
        <f t="shared" si="13"/>
        <v/>
      </c>
      <c r="AC90" s="95" t="str">
        <f t="shared" si="14"/>
        <v/>
      </c>
      <c r="AD90" s="95" t="str">
        <f t="shared" si="15"/>
        <v/>
      </c>
      <c r="AH90" s="97"/>
      <c r="AL90" s="95" t="str">
        <f t="shared" si="16"/>
        <v/>
      </c>
      <c r="AM90" s="95" t="str">
        <f t="shared" si="17"/>
        <v/>
      </c>
      <c r="AN90" s="95" t="str">
        <f t="shared" si="18"/>
        <v/>
      </c>
      <c r="AO90" s="95" t="str">
        <f t="shared" si="19"/>
        <v/>
      </c>
      <c r="AP90" s="95" t="str">
        <f t="shared" si="20"/>
        <v/>
      </c>
      <c r="AS90" s="97" t="str">
        <f t="shared" si="34"/>
        <v/>
      </c>
      <c r="AT90" s="98" t="str">
        <f t="shared" si="35"/>
        <v/>
      </c>
      <c r="AU90" s="98" t="str">
        <f t="shared" si="36"/>
        <v/>
      </c>
      <c r="AV90" s="95" t="str">
        <f>IF(AQ90="", "", IF(AQ90=$AT$6,AU90+0.221157*(1/SQRT($AT$6))-0.147981*(1/SQRT($AT$6))^2-2.07119*(1/SQRT($AT$6))^3+4.434685*(1/SQRT($AT$6))^4-2.706056*(1/SQRT($AT$6))^5, IF(AQ90=($AT$6-1),AU90+0.042981*(1/SQRT($AT$6))-0.293762*(1/SQRT($AT$6))^2-1.752461*(1/SQRT($AT$6))^3+5.682633*(1/SQRT($AT$6))^4-3.582663*(1/SQRT($AT$6))^5,AT90/SQRT(#REF!))))</f>
        <v/>
      </c>
      <c r="AW90" s="95" t="str">
        <f t="shared" si="37"/>
        <v/>
      </c>
    </row>
    <row r="91" spans="1:49" x14ac:dyDescent="0.3">
      <c r="A91" s="4"/>
      <c r="B91" s="4"/>
      <c r="C91" s="11" t="str">
        <f t="shared" si="5"/>
        <v/>
      </c>
      <c r="D91" s="18"/>
      <c r="E91" s="64"/>
      <c r="F91" s="64"/>
      <c r="G91" s="10" t="str">
        <f t="shared" si="6"/>
        <v/>
      </c>
      <c r="H91" s="4"/>
      <c r="I91" s="4"/>
      <c r="J91" s="170" t="str">
        <f t="shared" si="27"/>
        <v/>
      </c>
      <c r="K91" s="170" t="str">
        <f t="shared" si="7"/>
        <v/>
      </c>
      <c r="L91" s="168" t="e">
        <f t="shared" si="8"/>
        <v>#N/A</v>
      </c>
      <c r="M91" s="168" t="e">
        <f t="shared" si="9"/>
        <v>#N/A</v>
      </c>
      <c r="O91" s="98" t="str">
        <f t="shared" si="28"/>
        <v/>
      </c>
      <c r="P91" s="98" t="str">
        <f t="shared" si="10"/>
        <v/>
      </c>
      <c r="Q91" s="95" t="str">
        <f t="shared" si="32"/>
        <v/>
      </c>
      <c r="R91" s="97" t="str">
        <v/>
      </c>
      <c r="S91" s="97" t="str">
        <f t="shared" si="29"/>
        <v/>
      </c>
      <c r="T91" s="95" t="str">
        <f t="shared" si="11"/>
        <v/>
      </c>
      <c r="V91" s="98" t="str">
        <f t="shared" si="30"/>
        <v/>
      </c>
      <c r="W91" s="98" t="str">
        <f t="shared" si="12"/>
        <v/>
      </c>
      <c r="X91" s="95" t="str">
        <f t="shared" si="33"/>
        <v/>
      </c>
      <c r="Y91" s="95" t="str">
        <v/>
      </c>
      <c r="Z91" s="95" t="str">
        <f t="shared" si="31"/>
        <v/>
      </c>
      <c r="AA91" s="95" t="str">
        <f t="shared" si="13"/>
        <v/>
      </c>
      <c r="AC91" s="95" t="str">
        <f t="shared" si="14"/>
        <v/>
      </c>
      <c r="AD91" s="95" t="str">
        <f t="shared" si="15"/>
        <v/>
      </c>
      <c r="AH91" s="97"/>
      <c r="AL91" s="95" t="str">
        <f t="shared" si="16"/>
        <v/>
      </c>
      <c r="AM91" s="95" t="str">
        <f t="shared" si="17"/>
        <v/>
      </c>
      <c r="AN91" s="95" t="str">
        <f t="shared" si="18"/>
        <v/>
      </c>
      <c r="AO91" s="95" t="str">
        <f t="shared" si="19"/>
        <v/>
      </c>
      <c r="AP91" s="95" t="str">
        <f t="shared" si="20"/>
        <v/>
      </c>
      <c r="AS91" s="97" t="str">
        <f t="shared" si="34"/>
        <v/>
      </c>
      <c r="AT91" s="98" t="str">
        <f t="shared" si="35"/>
        <v/>
      </c>
      <c r="AU91" s="98" t="str">
        <f t="shared" si="36"/>
        <v/>
      </c>
      <c r="AV91" s="95" t="str">
        <f>IF(AQ91="", "", IF(AQ91=$AT$6,AU91+0.221157*(1/SQRT($AT$6))-0.147981*(1/SQRT($AT$6))^2-2.07119*(1/SQRT($AT$6))^3+4.434685*(1/SQRT($AT$6))^4-2.706056*(1/SQRT($AT$6))^5, IF(AQ91=($AT$6-1),AU91+0.042981*(1/SQRT($AT$6))-0.293762*(1/SQRT($AT$6))^2-1.752461*(1/SQRT($AT$6))^3+5.682633*(1/SQRT($AT$6))^4-3.582663*(1/SQRT($AT$6))^5,AT91/SQRT(#REF!))))</f>
        <v/>
      </c>
      <c r="AW91" s="95" t="str">
        <f t="shared" si="37"/>
        <v/>
      </c>
    </row>
    <row r="92" spans="1:49" x14ac:dyDescent="0.3">
      <c r="A92" s="4"/>
      <c r="B92" s="4"/>
      <c r="C92" s="11" t="str">
        <f t="shared" si="5"/>
        <v/>
      </c>
      <c r="D92" s="18"/>
      <c r="E92" s="64"/>
      <c r="F92" s="64"/>
      <c r="G92" s="10" t="str">
        <f t="shared" si="6"/>
        <v/>
      </c>
      <c r="H92" s="4"/>
      <c r="I92" s="4"/>
      <c r="J92" s="170" t="str">
        <f t="shared" si="27"/>
        <v/>
      </c>
      <c r="K92" s="170" t="str">
        <f t="shared" si="7"/>
        <v/>
      </c>
      <c r="L92" s="168" t="e">
        <f t="shared" si="8"/>
        <v>#N/A</v>
      </c>
      <c r="M92" s="168" t="e">
        <f t="shared" si="9"/>
        <v>#N/A</v>
      </c>
      <c r="O92" s="98" t="str">
        <f t="shared" si="28"/>
        <v/>
      </c>
      <c r="P92" s="98" t="str">
        <f t="shared" si="10"/>
        <v/>
      </c>
      <c r="Q92" s="95" t="str">
        <f t="shared" si="32"/>
        <v/>
      </c>
      <c r="R92" s="97" t="str">
        <v/>
      </c>
      <c r="S92" s="97" t="str">
        <f t="shared" si="29"/>
        <v/>
      </c>
      <c r="T92" s="95" t="str">
        <f t="shared" si="11"/>
        <v/>
      </c>
      <c r="V92" s="98" t="str">
        <f t="shared" si="30"/>
        <v/>
      </c>
      <c r="W92" s="98" t="str">
        <f t="shared" si="12"/>
        <v/>
      </c>
      <c r="X92" s="95" t="str">
        <f t="shared" si="33"/>
        <v/>
      </c>
      <c r="Y92" s="95" t="str">
        <v/>
      </c>
      <c r="Z92" s="95" t="str">
        <f t="shared" si="31"/>
        <v/>
      </c>
      <c r="AA92" s="95" t="str">
        <f t="shared" si="13"/>
        <v/>
      </c>
      <c r="AC92" s="95" t="str">
        <f t="shared" si="14"/>
        <v/>
      </c>
      <c r="AD92" s="95" t="str">
        <f t="shared" si="15"/>
        <v/>
      </c>
      <c r="AH92" s="97"/>
      <c r="AL92" s="95" t="str">
        <f t="shared" si="16"/>
        <v/>
      </c>
      <c r="AM92" s="95" t="str">
        <f t="shared" si="17"/>
        <v/>
      </c>
      <c r="AN92" s="95" t="str">
        <f t="shared" si="18"/>
        <v/>
      </c>
      <c r="AO92" s="95" t="str">
        <f t="shared" si="19"/>
        <v/>
      </c>
      <c r="AP92" s="95" t="str">
        <f t="shared" si="20"/>
        <v/>
      </c>
      <c r="AS92" s="97" t="str">
        <f t="shared" si="34"/>
        <v/>
      </c>
      <c r="AT92" s="98" t="str">
        <f t="shared" si="35"/>
        <v/>
      </c>
      <c r="AU92" s="98" t="str">
        <f t="shared" si="36"/>
        <v/>
      </c>
      <c r="AV92" s="95" t="str">
        <f>IF(AQ92="", "", IF(AQ92=$AT$6,AU92+0.221157*(1/SQRT($AT$6))-0.147981*(1/SQRT($AT$6))^2-2.07119*(1/SQRT($AT$6))^3+4.434685*(1/SQRT($AT$6))^4-2.706056*(1/SQRT($AT$6))^5, IF(AQ92=($AT$6-1),AU92+0.042981*(1/SQRT($AT$6))-0.293762*(1/SQRT($AT$6))^2-1.752461*(1/SQRT($AT$6))^3+5.682633*(1/SQRT($AT$6))^4-3.582663*(1/SQRT($AT$6))^5,AT92/SQRT(#REF!))))</f>
        <v/>
      </c>
      <c r="AW92" s="95" t="str">
        <f t="shared" si="37"/>
        <v/>
      </c>
    </row>
    <row r="93" spans="1:49" x14ac:dyDescent="0.3">
      <c r="A93" s="4"/>
      <c r="B93" s="4"/>
      <c r="C93" s="11" t="str">
        <f t="shared" si="5"/>
        <v/>
      </c>
      <c r="D93" s="18"/>
      <c r="E93" s="64"/>
      <c r="F93" s="64"/>
      <c r="G93" s="10" t="str">
        <f t="shared" si="6"/>
        <v/>
      </c>
      <c r="H93" s="4"/>
      <c r="I93" s="4"/>
      <c r="J93" s="170" t="str">
        <f t="shared" si="27"/>
        <v/>
      </c>
      <c r="K93" s="170" t="str">
        <f t="shared" si="7"/>
        <v/>
      </c>
      <c r="L93" s="168" t="e">
        <f t="shared" si="8"/>
        <v>#N/A</v>
      </c>
      <c r="M93" s="168" t="e">
        <f t="shared" si="9"/>
        <v>#N/A</v>
      </c>
      <c r="O93" s="98" t="str">
        <f t="shared" si="28"/>
        <v/>
      </c>
      <c r="P93" s="98" t="str">
        <f t="shared" si="10"/>
        <v/>
      </c>
      <c r="Q93" s="95" t="str">
        <f t="shared" si="32"/>
        <v/>
      </c>
      <c r="R93" s="97" t="str">
        <v/>
      </c>
      <c r="S93" s="97" t="str">
        <f t="shared" si="29"/>
        <v/>
      </c>
      <c r="T93" s="95" t="str">
        <f t="shared" si="11"/>
        <v/>
      </c>
      <c r="V93" s="98" t="str">
        <f t="shared" si="30"/>
        <v/>
      </c>
      <c r="W93" s="98" t="str">
        <f t="shared" si="12"/>
        <v/>
      </c>
      <c r="X93" s="95" t="str">
        <f t="shared" si="33"/>
        <v/>
      </c>
      <c r="Y93" s="95" t="str">
        <v/>
      </c>
      <c r="Z93" s="95" t="str">
        <f t="shared" si="31"/>
        <v/>
      </c>
      <c r="AA93" s="95" t="str">
        <f t="shared" si="13"/>
        <v/>
      </c>
      <c r="AC93" s="95" t="str">
        <f t="shared" si="14"/>
        <v/>
      </c>
      <c r="AD93" s="95" t="str">
        <f t="shared" si="15"/>
        <v/>
      </c>
      <c r="AH93" s="97"/>
      <c r="AL93" s="95" t="str">
        <f t="shared" si="16"/>
        <v/>
      </c>
      <c r="AM93" s="95" t="str">
        <f t="shared" si="17"/>
        <v/>
      </c>
      <c r="AN93" s="95" t="str">
        <f t="shared" si="18"/>
        <v/>
      </c>
      <c r="AO93" s="95" t="str">
        <f t="shared" si="19"/>
        <v/>
      </c>
      <c r="AP93" s="95" t="str">
        <f t="shared" si="20"/>
        <v/>
      </c>
      <c r="AS93" s="97" t="str">
        <f t="shared" si="34"/>
        <v/>
      </c>
      <c r="AT93" s="98" t="str">
        <f t="shared" si="35"/>
        <v/>
      </c>
      <c r="AU93" s="98" t="str">
        <f t="shared" si="36"/>
        <v/>
      </c>
      <c r="AV93" s="95" t="str">
        <f>IF(AQ93="", "", IF(AQ93=$AT$6,AU93+0.221157*(1/SQRT($AT$6))-0.147981*(1/SQRT($AT$6))^2-2.07119*(1/SQRT($AT$6))^3+4.434685*(1/SQRT($AT$6))^4-2.706056*(1/SQRT($AT$6))^5, IF(AQ93=($AT$6-1),AU93+0.042981*(1/SQRT($AT$6))-0.293762*(1/SQRT($AT$6))^2-1.752461*(1/SQRT($AT$6))^3+5.682633*(1/SQRT($AT$6))^4-3.582663*(1/SQRT($AT$6))^5,AT93/SQRT(#REF!))))</f>
        <v/>
      </c>
      <c r="AW93" s="95" t="str">
        <f t="shared" si="37"/>
        <v/>
      </c>
    </row>
    <row r="94" spans="1:49" x14ac:dyDescent="0.3">
      <c r="A94" s="4"/>
      <c r="B94" s="4"/>
      <c r="C94" s="11" t="str">
        <f t="shared" si="5"/>
        <v/>
      </c>
      <c r="D94" s="18"/>
      <c r="E94" s="64"/>
      <c r="F94" s="64"/>
      <c r="G94" s="10" t="str">
        <f t="shared" si="6"/>
        <v/>
      </c>
      <c r="H94" s="4"/>
      <c r="I94" s="4"/>
      <c r="J94" s="170" t="str">
        <f t="shared" si="27"/>
        <v/>
      </c>
      <c r="K94" s="170" t="str">
        <f t="shared" si="7"/>
        <v/>
      </c>
      <c r="L94" s="168" t="e">
        <f t="shared" si="8"/>
        <v>#N/A</v>
      </c>
      <c r="M94" s="168" t="e">
        <f t="shared" si="9"/>
        <v>#N/A</v>
      </c>
      <c r="O94" s="98" t="str">
        <f t="shared" si="28"/>
        <v/>
      </c>
      <c r="P94" s="98" t="str">
        <f t="shared" si="10"/>
        <v/>
      </c>
      <c r="Q94" s="95" t="str">
        <f t="shared" si="32"/>
        <v/>
      </c>
      <c r="R94" s="97" t="str">
        <v/>
      </c>
      <c r="S94" s="97" t="str">
        <f t="shared" si="29"/>
        <v/>
      </c>
      <c r="T94" s="95" t="str">
        <f t="shared" si="11"/>
        <v/>
      </c>
      <c r="V94" s="98" t="str">
        <f t="shared" si="30"/>
        <v/>
      </c>
      <c r="W94" s="98" t="str">
        <f t="shared" si="12"/>
        <v/>
      </c>
      <c r="X94" s="95" t="str">
        <f t="shared" si="33"/>
        <v/>
      </c>
      <c r="Y94" s="95" t="str">
        <v/>
      </c>
      <c r="Z94" s="95" t="str">
        <f t="shared" si="31"/>
        <v/>
      </c>
      <c r="AA94" s="95" t="str">
        <f t="shared" si="13"/>
        <v/>
      </c>
      <c r="AC94" s="95" t="str">
        <f t="shared" si="14"/>
        <v/>
      </c>
      <c r="AD94" s="95" t="str">
        <f t="shared" si="15"/>
        <v/>
      </c>
      <c r="AH94" s="97"/>
      <c r="AL94" s="95" t="str">
        <f t="shared" si="16"/>
        <v/>
      </c>
      <c r="AM94" s="95" t="str">
        <f t="shared" si="17"/>
        <v/>
      </c>
      <c r="AN94" s="95" t="str">
        <f t="shared" si="18"/>
        <v/>
      </c>
      <c r="AO94" s="95" t="str">
        <f t="shared" si="19"/>
        <v/>
      </c>
      <c r="AP94" s="95" t="str">
        <f t="shared" si="20"/>
        <v/>
      </c>
      <c r="AS94" s="97" t="str">
        <f t="shared" si="34"/>
        <v/>
      </c>
      <c r="AT94" s="98" t="str">
        <f t="shared" si="35"/>
        <v/>
      </c>
      <c r="AU94" s="98" t="str">
        <f t="shared" si="36"/>
        <v/>
      </c>
      <c r="AV94" s="95" t="str">
        <f>IF(AQ94="", "", IF(AQ94=$AT$6,AU94+0.221157*(1/SQRT($AT$6))-0.147981*(1/SQRT($AT$6))^2-2.07119*(1/SQRT($AT$6))^3+4.434685*(1/SQRT($AT$6))^4-2.706056*(1/SQRT($AT$6))^5, IF(AQ94=($AT$6-1),AU94+0.042981*(1/SQRT($AT$6))-0.293762*(1/SQRT($AT$6))^2-1.752461*(1/SQRT($AT$6))^3+5.682633*(1/SQRT($AT$6))^4-3.582663*(1/SQRT($AT$6))^5,AT94/SQRT(#REF!))))</f>
        <v/>
      </c>
      <c r="AW94" s="95" t="str">
        <f t="shared" si="37"/>
        <v/>
      </c>
    </row>
    <row r="95" spans="1:49" x14ac:dyDescent="0.3">
      <c r="A95" s="4"/>
      <c r="B95" s="4"/>
      <c r="C95" s="11" t="str">
        <f t="shared" si="5"/>
        <v/>
      </c>
      <c r="D95" s="18"/>
      <c r="E95" s="64"/>
      <c r="F95" s="64"/>
      <c r="G95" s="10" t="str">
        <f t="shared" si="6"/>
        <v/>
      </c>
      <c r="H95" s="4"/>
      <c r="I95" s="4"/>
      <c r="J95" s="170" t="str">
        <f t="shared" si="27"/>
        <v/>
      </c>
      <c r="K95" s="170" t="str">
        <f t="shared" si="7"/>
        <v/>
      </c>
      <c r="L95" s="168" t="e">
        <f t="shared" si="8"/>
        <v>#N/A</v>
      </c>
      <c r="M95" s="168" t="e">
        <f t="shared" si="9"/>
        <v>#N/A</v>
      </c>
      <c r="O95" s="98" t="str">
        <f t="shared" si="28"/>
        <v/>
      </c>
      <c r="P95" s="98" t="str">
        <f t="shared" si="10"/>
        <v/>
      </c>
      <c r="Q95" s="95" t="str">
        <f t="shared" si="32"/>
        <v/>
      </c>
      <c r="R95" s="97" t="str">
        <v/>
      </c>
      <c r="S95" s="97" t="str">
        <f t="shared" si="29"/>
        <v/>
      </c>
      <c r="T95" s="95" t="str">
        <f t="shared" si="11"/>
        <v/>
      </c>
      <c r="V95" s="98" t="str">
        <f t="shared" si="30"/>
        <v/>
      </c>
      <c r="W95" s="98" t="str">
        <f t="shared" si="12"/>
        <v/>
      </c>
      <c r="X95" s="95" t="str">
        <f t="shared" si="33"/>
        <v/>
      </c>
      <c r="Y95" s="95" t="str">
        <v/>
      </c>
      <c r="Z95" s="95" t="str">
        <f t="shared" si="31"/>
        <v/>
      </c>
      <c r="AA95" s="95" t="str">
        <f t="shared" si="13"/>
        <v/>
      </c>
      <c r="AC95" s="95" t="str">
        <f t="shared" si="14"/>
        <v/>
      </c>
      <c r="AD95" s="95" t="str">
        <f t="shared" si="15"/>
        <v/>
      </c>
      <c r="AH95" s="97"/>
      <c r="AL95" s="95" t="str">
        <f t="shared" si="16"/>
        <v/>
      </c>
      <c r="AM95" s="95" t="str">
        <f t="shared" si="17"/>
        <v/>
      </c>
      <c r="AN95" s="95" t="str">
        <f t="shared" si="18"/>
        <v/>
      </c>
      <c r="AO95" s="95" t="str">
        <f t="shared" si="19"/>
        <v/>
      </c>
      <c r="AP95" s="95" t="str">
        <f t="shared" si="20"/>
        <v/>
      </c>
      <c r="AS95" s="97" t="str">
        <f t="shared" si="34"/>
        <v/>
      </c>
      <c r="AT95" s="98" t="str">
        <f t="shared" si="35"/>
        <v/>
      </c>
      <c r="AU95" s="98" t="str">
        <f t="shared" si="36"/>
        <v/>
      </c>
      <c r="AV95" s="95" t="str">
        <f>IF(AQ95="", "", IF(AQ95=$AT$6,AU95+0.221157*(1/SQRT($AT$6))-0.147981*(1/SQRT($AT$6))^2-2.07119*(1/SQRT($AT$6))^3+4.434685*(1/SQRT($AT$6))^4-2.706056*(1/SQRT($AT$6))^5, IF(AQ95=($AT$6-1),AU95+0.042981*(1/SQRT($AT$6))-0.293762*(1/SQRT($AT$6))^2-1.752461*(1/SQRT($AT$6))^3+5.682633*(1/SQRT($AT$6))^4-3.582663*(1/SQRT($AT$6))^5,AT95/SQRT(#REF!))))</f>
        <v/>
      </c>
      <c r="AW95" s="95" t="str">
        <f t="shared" si="37"/>
        <v/>
      </c>
    </row>
    <row r="96" spans="1:49" x14ac:dyDescent="0.3">
      <c r="A96" s="4"/>
      <c r="B96" s="4"/>
      <c r="C96" s="11" t="str">
        <f t="shared" si="5"/>
        <v/>
      </c>
      <c r="D96" s="18"/>
      <c r="E96" s="64"/>
      <c r="F96" s="64"/>
      <c r="G96" s="10" t="str">
        <f t="shared" si="6"/>
        <v/>
      </c>
      <c r="H96" s="4"/>
      <c r="I96" s="4"/>
      <c r="J96" s="170" t="str">
        <f t="shared" si="27"/>
        <v/>
      </c>
      <c r="K96" s="170" t="str">
        <f t="shared" si="7"/>
        <v/>
      </c>
      <c r="L96" s="168" t="e">
        <f t="shared" si="8"/>
        <v>#N/A</v>
      </c>
      <c r="M96" s="168" t="e">
        <f t="shared" si="9"/>
        <v>#N/A</v>
      </c>
      <c r="O96" s="98" t="str">
        <f t="shared" si="28"/>
        <v/>
      </c>
      <c r="P96" s="98" t="str">
        <f t="shared" si="10"/>
        <v/>
      </c>
      <c r="Q96" s="95" t="str">
        <f t="shared" si="32"/>
        <v/>
      </c>
      <c r="R96" s="97" t="str">
        <v/>
      </c>
      <c r="S96" s="97" t="str">
        <f t="shared" si="29"/>
        <v/>
      </c>
      <c r="T96" s="95" t="str">
        <f t="shared" si="11"/>
        <v/>
      </c>
      <c r="V96" s="98" t="str">
        <f t="shared" si="30"/>
        <v/>
      </c>
      <c r="W96" s="98" t="str">
        <f t="shared" si="12"/>
        <v/>
      </c>
      <c r="X96" s="95" t="str">
        <f t="shared" si="33"/>
        <v/>
      </c>
      <c r="Y96" s="95" t="str">
        <v/>
      </c>
      <c r="Z96" s="95" t="str">
        <f t="shared" si="31"/>
        <v/>
      </c>
      <c r="AA96" s="95" t="str">
        <f t="shared" si="13"/>
        <v/>
      </c>
      <c r="AC96" s="95" t="str">
        <f t="shared" si="14"/>
        <v/>
      </c>
      <c r="AD96" s="95" t="str">
        <f t="shared" si="15"/>
        <v/>
      </c>
      <c r="AH96" s="97"/>
      <c r="AL96" s="95" t="str">
        <f t="shared" si="16"/>
        <v/>
      </c>
      <c r="AM96" s="95" t="str">
        <f t="shared" si="17"/>
        <v/>
      </c>
      <c r="AN96" s="95" t="str">
        <f t="shared" si="18"/>
        <v/>
      </c>
      <c r="AO96" s="95" t="str">
        <f t="shared" si="19"/>
        <v/>
      </c>
      <c r="AP96" s="95" t="str">
        <f t="shared" si="20"/>
        <v/>
      </c>
      <c r="AS96" s="97" t="str">
        <f t="shared" si="34"/>
        <v/>
      </c>
      <c r="AT96" s="98" t="str">
        <f t="shared" si="35"/>
        <v/>
      </c>
      <c r="AU96" s="98" t="str">
        <f t="shared" si="36"/>
        <v/>
      </c>
      <c r="AV96" s="95" t="str">
        <f>IF(AQ96="", "", IF(AQ96=$AT$6,AU96+0.221157*(1/SQRT($AT$6))-0.147981*(1/SQRT($AT$6))^2-2.07119*(1/SQRT($AT$6))^3+4.434685*(1/SQRT($AT$6))^4-2.706056*(1/SQRT($AT$6))^5, IF(AQ96=($AT$6-1),AU96+0.042981*(1/SQRT($AT$6))-0.293762*(1/SQRT($AT$6))^2-1.752461*(1/SQRT($AT$6))^3+5.682633*(1/SQRT($AT$6))^4-3.582663*(1/SQRT($AT$6))^5,AT96/SQRT(#REF!))))</f>
        <v/>
      </c>
      <c r="AW96" s="95" t="str">
        <f t="shared" si="37"/>
        <v/>
      </c>
    </row>
    <row r="97" spans="1:49" x14ac:dyDescent="0.3">
      <c r="A97" s="4"/>
      <c r="B97" s="4"/>
      <c r="C97" s="11" t="str">
        <f t="shared" si="5"/>
        <v/>
      </c>
      <c r="D97" s="18"/>
      <c r="E97" s="64"/>
      <c r="F97" s="64"/>
      <c r="G97" s="10" t="str">
        <f t="shared" si="6"/>
        <v/>
      </c>
      <c r="H97" s="4"/>
      <c r="I97" s="4"/>
      <c r="J97" s="170" t="str">
        <f t="shared" si="27"/>
        <v/>
      </c>
      <c r="K97" s="170" t="str">
        <f t="shared" si="7"/>
        <v/>
      </c>
      <c r="L97" s="168" t="e">
        <f t="shared" si="8"/>
        <v>#N/A</v>
      </c>
      <c r="M97" s="168" t="e">
        <f t="shared" si="9"/>
        <v>#N/A</v>
      </c>
      <c r="O97" s="98" t="str">
        <f t="shared" si="28"/>
        <v/>
      </c>
      <c r="P97" s="98" t="str">
        <f t="shared" si="10"/>
        <v/>
      </c>
      <c r="Q97" s="95" t="str">
        <f t="shared" si="32"/>
        <v/>
      </c>
      <c r="R97" s="97" t="str">
        <v/>
      </c>
      <c r="S97" s="97" t="str">
        <f t="shared" si="29"/>
        <v/>
      </c>
      <c r="T97" s="95" t="str">
        <f t="shared" si="11"/>
        <v/>
      </c>
      <c r="V97" s="98" t="str">
        <f t="shared" si="30"/>
        <v/>
      </c>
      <c r="W97" s="98" t="str">
        <f t="shared" si="12"/>
        <v/>
      </c>
      <c r="X97" s="95" t="str">
        <f t="shared" si="33"/>
        <v/>
      </c>
      <c r="Y97" s="95" t="str">
        <v/>
      </c>
      <c r="Z97" s="95" t="str">
        <f t="shared" si="31"/>
        <v/>
      </c>
      <c r="AA97" s="95" t="str">
        <f t="shared" si="13"/>
        <v/>
      </c>
      <c r="AC97" s="95" t="str">
        <f t="shared" si="14"/>
        <v/>
      </c>
      <c r="AD97" s="95" t="str">
        <f t="shared" si="15"/>
        <v/>
      </c>
      <c r="AH97" s="97"/>
      <c r="AL97" s="95" t="str">
        <f t="shared" si="16"/>
        <v/>
      </c>
      <c r="AM97" s="95" t="str">
        <f t="shared" si="17"/>
        <v/>
      </c>
      <c r="AN97" s="95" t="str">
        <f t="shared" si="18"/>
        <v/>
      </c>
      <c r="AO97" s="95" t="str">
        <f t="shared" si="19"/>
        <v/>
      </c>
      <c r="AP97" s="95" t="str">
        <f t="shared" si="20"/>
        <v/>
      </c>
      <c r="AS97" s="97" t="str">
        <f t="shared" si="34"/>
        <v/>
      </c>
      <c r="AT97" s="98" t="str">
        <f t="shared" si="35"/>
        <v/>
      </c>
      <c r="AU97" s="98" t="str">
        <f t="shared" si="36"/>
        <v/>
      </c>
      <c r="AV97" s="95" t="str">
        <f>IF(AQ97="", "", IF(AQ97=$AT$6,AU97+0.221157*(1/SQRT($AT$6))-0.147981*(1/SQRT($AT$6))^2-2.07119*(1/SQRT($AT$6))^3+4.434685*(1/SQRT($AT$6))^4-2.706056*(1/SQRT($AT$6))^5, IF(AQ97=($AT$6-1),AU97+0.042981*(1/SQRT($AT$6))-0.293762*(1/SQRT($AT$6))^2-1.752461*(1/SQRT($AT$6))^3+5.682633*(1/SQRT($AT$6))^4-3.582663*(1/SQRT($AT$6))^5,AT97/SQRT(#REF!))))</f>
        <v/>
      </c>
      <c r="AW97" s="95" t="str">
        <f t="shared" si="37"/>
        <v/>
      </c>
    </row>
    <row r="98" spans="1:49" x14ac:dyDescent="0.3">
      <c r="A98" s="4"/>
      <c r="B98" s="4"/>
      <c r="C98" s="11" t="str">
        <f t="shared" si="5"/>
        <v/>
      </c>
      <c r="D98" s="18"/>
      <c r="E98" s="64"/>
      <c r="F98" s="64"/>
      <c r="G98" s="10" t="str">
        <f t="shared" si="6"/>
        <v/>
      </c>
      <c r="H98" s="4"/>
      <c r="I98" s="4"/>
      <c r="J98" s="170" t="str">
        <f t="shared" si="27"/>
        <v/>
      </c>
      <c r="K98" s="170" t="str">
        <f t="shared" si="7"/>
        <v/>
      </c>
      <c r="L98" s="168" t="e">
        <f t="shared" si="8"/>
        <v>#N/A</v>
      </c>
      <c r="M98" s="168" t="e">
        <f t="shared" si="9"/>
        <v>#N/A</v>
      </c>
      <c r="O98" s="98" t="str">
        <f t="shared" si="28"/>
        <v/>
      </c>
      <c r="P98" s="98" t="str">
        <f t="shared" si="10"/>
        <v/>
      </c>
      <c r="Q98" s="95" t="str">
        <f t="shared" si="32"/>
        <v/>
      </c>
      <c r="R98" s="97" t="str">
        <v/>
      </c>
      <c r="S98" s="97" t="str">
        <f t="shared" si="29"/>
        <v/>
      </c>
      <c r="T98" s="95" t="str">
        <f t="shared" si="11"/>
        <v/>
      </c>
      <c r="V98" s="98" t="str">
        <f t="shared" si="30"/>
        <v/>
      </c>
      <c r="W98" s="98" t="str">
        <f t="shared" si="12"/>
        <v/>
      </c>
      <c r="X98" s="95" t="str">
        <f t="shared" si="33"/>
        <v/>
      </c>
      <c r="Y98" s="95" t="str">
        <v/>
      </c>
      <c r="Z98" s="95" t="str">
        <f t="shared" si="31"/>
        <v/>
      </c>
      <c r="AA98" s="95" t="str">
        <f t="shared" si="13"/>
        <v/>
      </c>
      <c r="AC98" s="95" t="str">
        <f t="shared" si="14"/>
        <v/>
      </c>
      <c r="AD98" s="95" t="str">
        <f t="shared" si="15"/>
        <v/>
      </c>
      <c r="AH98" s="97"/>
      <c r="AL98" s="95" t="str">
        <f t="shared" si="16"/>
        <v/>
      </c>
      <c r="AM98" s="95" t="str">
        <f t="shared" si="17"/>
        <v/>
      </c>
      <c r="AN98" s="95" t="str">
        <f t="shared" si="18"/>
        <v/>
      </c>
      <c r="AO98" s="95" t="str">
        <f t="shared" si="19"/>
        <v/>
      </c>
      <c r="AP98" s="95" t="str">
        <f t="shared" si="20"/>
        <v/>
      </c>
      <c r="AS98" s="97" t="str">
        <f t="shared" si="34"/>
        <v/>
      </c>
      <c r="AT98" s="98" t="str">
        <f t="shared" si="35"/>
        <v/>
      </c>
      <c r="AU98" s="98" t="str">
        <f t="shared" si="36"/>
        <v/>
      </c>
      <c r="AV98" s="95" t="str">
        <f>IF(AQ98="", "", IF(AQ98=$AT$6,AU98+0.221157*(1/SQRT($AT$6))-0.147981*(1/SQRT($AT$6))^2-2.07119*(1/SQRT($AT$6))^3+4.434685*(1/SQRT($AT$6))^4-2.706056*(1/SQRT($AT$6))^5, IF(AQ98=($AT$6-1),AU98+0.042981*(1/SQRT($AT$6))-0.293762*(1/SQRT($AT$6))^2-1.752461*(1/SQRT($AT$6))^3+5.682633*(1/SQRT($AT$6))^4-3.582663*(1/SQRT($AT$6))^5,AT98/SQRT(#REF!))))</f>
        <v/>
      </c>
      <c r="AW98" s="95" t="str">
        <f t="shared" si="37"/>
        <v/>
      </c>
    </row>
    <row r="99" spans="1:49" x14ac:dyDescent="0.3">
      <c r="A99" s="4"/>
      <c r="B99" s="4"/>
      <c r="C99" s="11" t="str">
        <f t="shared" si="5"/>
        <v/>
      </c>
      <c r="D99" s="18"/>
      <c r="E99" s="64"/>
      <c r="F99" s="64"/>
      <c r="G99" s="10" t="str">
        <f t="shared" si="6"/>
        <v/>
      </c>
      <c r="H99" s="4"/>
      <c r="I99" s="4"/>
      <c r="J99" s="170" t="str">
        <f t="shared" ref="J99:J119" si="38">IF(AND(D99&lt;&gt;"",E99&lt;&gt;""),E99,"")</f>
        <v/>
      </c>
      <c r="K99" s="170" t="str">
        <f t="shared" si="7"/>
        <v/>
      </c>
      <c r="L99" s="168" t="e">
        <f t="shared" si="8"/>
        <v>#N/A</v>
      </c>
      <c r="M99" s="168" t="e">
        <f t="shared" si="9"/>
        <v>#N/A</v>
      </c>
      <c r="O99" s="98" t="str">
        <f t="shared" ref="O99:O120" si="39">IF($J99&lt;&gt;"", _xlfn.NORM.S.INV(($C99-0.375)/(CT_cnt+0.25)), "")</f>
        <v/>
      </c>
      <c r="P99" s="98" t="str">
        <f t="shared" si="10"/>
        <v/>
      </c>
      <c r="Q99" s="95" t="str">
        <f t="shared" si="32"/>
        <v/>
      </c>
      <c r="R99" s="97" t="str">
        <v/>
      </c>
      <c r="S99" s="97" t="str">
        <f t="shared" ref="S99:S119" si="40">IF($J99&lt;&gt;"",($R99-AVERAGE(CT_sort))^2, "")</f>
        <v/>
      </c>
      <c r="T99" s="95" t="str">
        <f t="shared" si="11"/>
        <v/>
      </c>
      <c r="V99" s="98" t="str">
        <f t="shared" ref="V99:V120" si="41">IF($K99&lt;&gt;"", _xlfn.NORM.S.INV(($C99-0.375)/(TX_cnt+0.25)), "")</f>
        <v/>
      </c>
      <c r="W99" s="98" t="str">
        <f t="shared" si="12"/>
        <v/>
      </c>
      <c r="X99" s="95" t="str">
        <f t="shared" si="33"/>
        <v/>
      </c>
      <c r="Y99" s="95" t="str">
        <v/>
      </c>
      <c r="Z99" s="95" t="str">
        <f t="shared" ref="Z99:Z120" si="42">IF($K99&lt;&gt;"",($K99-AVERAGE(TX_sort))^2, "")</f>
        <v/>
      </c>
      <c r="AA99" s="95" t="str">
        <f t="shared" si="13"/>
        <v/>
      </c>
      <c r="AC99" s="95" t="str">
        <f t="shared" si="14"/>
        <v/>
      </c>
      <c r="AD99" s="95" t="str">
        <f t="shared" si="15"/>
        <v/>
      </c>
      <c r="AH99" s="97"/>
      <c r="AL99" s="95" t="str">
        <f t="shared" si="16"/>
        <v/>
      </c>
      <c r="AM99" s="95" t="str">
        <f t="shared" si="17"/>
        <v/>
      </c>
      <c r="AN99" s="95" t="str">
        <f t="shared" si="18"/>
        <v/>
      </c>
      <c r="AO99" s="95" t="str">
        <f t="shared" si="19"/>
        <v/>
      </c>
      <c r="AP99" s="95" t="str">
        <f t="shared" si="20"/>
        <v/>
      </c>
      <c r="AS99" s="97" t="str">
        <f t="shared" si="34"/>
        <v/>
      </c>
      <c r="AT99" s="98" t="str">
        <f t="shared" si="35"/>
        <v/>
      </c>
      <c r="AU99" s="98" t="str">
        <f t="shared" si="36"/>
        <v/>
      </c>
      <c r="AV99" s="95" t="str">
        <f>IF(AQ99="", "", IF(AQ99=$AT$6,AU99+0.221157*(1/SQRT($AT$6))-0.147981*(1/SQRT($AT$6))^2-2.07119*(1/SQRT($AT$6))^3+4.434685*(1/SQRT($AT$6))^4-2.706056*(1/SQRT($AT$6))^5, IF(AQ99=($AT$6-1),AU99+0.042981*(1/SQRT($AT$6))-0.293762*(1/SQRT($AT$6))^2-1.752461*(1/SQRT($AT$6))^3+5.682633*(1/SQRT($AT$6))^4-3.582663*(1/SQRT($AT$6))^5,AT99/SQRT(#REF!))))</f>
        <v/>
      </c>
      <c r="AW99" s="95" t="str">
        <f t="shared" si="37"/>
        <v/>
      </c>
    </row>
    <row r="100" spans="1:49" x14ac:dyDescent="0.3">
      <c r="A100" s="4"/>
      <c r="B100" s="4"/>
      <c r="C100" s="11" t="str">
        <f t="shared" ref="C100:C119" si="43">IF(G100&lt;&gt;"",IF(ISTEXT(C99),1,C99+1),"")</f>
        <v/>
      </c>
      <c r="D100" s="18"/>
      <c r="E100" s="64"/>
      <c r="F100" s="64"/>
      <c r="G100" s="10" t="str">
        <f t="shared" ref="G100:G119" si="44">IF(OR(AND(D100&lt;&gt;"",E100&lt;&gt;"", F100&lt;&gt;"")),"X","")</f>
        <v/>
      </c>
      <c r="H100" s="4"/>
      <c r="I100" s="4"/>
      <c r="J100" s="170" t="str">
        <f t="shared" si="38"/>
        <v/>
      </c>
      <c r="K100" s="170" t="str">
        <f t="shared" ref="K100:K119" si="45">IF(AND(D100&lt;&gt;"",F100&lt;&gt;""),F100,"")</f>
        <v/>
      </c>
      <c r="L100" s="168" t="e">
        <f t="shared" ref="L100:L119" si="46">IF(J100&lt;&gt;"",J100,NA())</f>
        <v>#N/A</v>
      </c>
      <c r="M100" s="168" t="e">
        <f t="shared" ref="M100:M119" si="47">IF(K100&lt;&gt;"",K100,NA())</f>
        <v>#N/A</v>
      </c>
      <c r="O100" s="98" t="str">
        <f t="shared" si="39"/>
        <v/>
      </c>
      <c r="P100" s="98" t="str">
        <f t="shared" ref="P100:P120" si="48">IF($J100&lt;&gt;"", (SUMSQ($O$35:$O$119))^(-0.5)*O100, "")</f>
        <v/>
      </c>
      <c r="Q100" s="95" t="str">
        <f t="shared" si="32"/>
        <v/>
      </c>
      <c r="R100" s="97" t="str">
        <v/>
      </c>
      <c r="S100" s="97" t="str">
        <f t="shared" si="40"/>
        <v/>
      </c>
      <c r="T100" s="95" t="str">
        <f t="shared" ref="T100:T119" si="49">IF($J100="", "", $Q100*$R100)</f>
        <v/>
      </c>
      <c r="V100" s="98" t="str">
        <f t="shared" si="41"/>
        <v/>
      </c>
      <c r="W100" s="98" t="str">
        <f t="shared" ref="W100:W119" si="50">IF($K100&lt;&gt;"", (SUMSQ($V$35:$V$119))^(-0.5)*$V100, "")</f>
        <v/>
      </c>
      <c r="X100" s="95" t="str">
        <f t="shared" si="33"/>
        <v/>
      </c>
      <c r="Y100" s="95" t="str">
        <v/>
      </c>
      <c r="Z100" s="95" t="str">
        <f t="shared" si="42"/>
        <v/>
      </c>
      <c r="AA100" s="95" t="str">
        <f t="shared" ref="AA100:AA120" si="51">IF($K100&lt;&gt;"",X100*Y100,"")</f>
        <v/>
      </c>
      <c r="AC100" s="95" t="str">
        <f t="shared" ref="AC100:AC119" si="52">IF(J100="", "", _xlfn.RANK.EQ(J100,$J$35:$K$119,1)+(COUNT($J$35:$K$119)+1-_xlfn.RANK.EQ(J100,$J$35:$K$119,1)-_xlfn.RANK.EQ(J100,$J$35:$K$119,0))/2)</f>
        <v/>
      </c>
      <c r="AD100" s="95" t="str">
        <f t="shared" ref="AD100:AD119" si="53">IF(K100="", "", _xlfn.RANK.EQ(K100,$J$35:$K$119,1)+(COUNT($J$35:$K$119)+1-_xlfn.RANK.EQ(K100,$J$35:$K$119,1)-_xlfn.RANK.EQ(K100,$J$35:$K$119,0))/2)</f>
        <v/>
      </c>
      <c r="AH100" s="97"/>
      <c r="AL100" s="95" t="str">
        <f t="shared" ref="AL100:AL119" si="54">IF(AND(J100&lt;&gt;"", K100&lt;&gt;""), J100-K100,"")</f>
        <v/>
      </c>
      <c r="AM100" s="95" t="str">
        <f t="shared" ref="AM100:AM119" si="55">IF(OR(OR(J100="", K100=""),AL100=0),"",ABS(AL100))</f>
        <v/>
      </c>
      <c r="AN100" s="95" t="str">
        <f t="shared" ref="AN100:AN119" si="56">IF(OR(AM100="",AL100=0),"",_xlfn.RANK.AVG(AM100,$AM$35:$AM$119,1))</f>
        <v/>
      </c>
      <c r="AO100" s="95" t="str">
        <f t="shared" ref="AO100:AO119" si="57">IF(AL100&gt;0, AN100, "")</f>
        <v/>
      </c>
      <c r="AP100" s="95" t="str">
        <f t="shared" ref="AP100:AP119" si="58">IF(AL100&lt;0, AN100, "")</f>
        <v/>
      </c>
      <c r="AS100" s="97" t="str">
        <f t="shared" si="34"/>
        <v/>
      </c>
      <c r="AT100" s="98" t="str">
        <f t="shared" si="35"/>
        <v/>
      </c>
      <c r="AU100" s="98" t="str">
        <f t="shared" si="36"/>
        <v/>
      </c>
      <c r="AV100" s="95" t="str">
        <f>IF(AQ100="", "", IF(AQ100=$AT$6,AU100+0.221157*(1/SQRT($AT$6))-0.147981*(1/SQRT($AT$6))^2-2.07119*(1/SQRT($AT$6))^3+4.434685*(1/SQRT($AT$6))^4-2.706056*(1/SQRT($AT$6))^5, IF(AQ100=($AT$6-1),AU100+0.042981*(1/SQRT($AT$6))-0.293762*(1/SQRT($AT$6))^2-1.752461*(1/SQRT($AT$6))^3+5.682633*(1/SQRT($AT$6))^4-3.582663*(1/SQRT($AT$6))^5,AT100/SQRT(#REF!))))</f>
        <v/>
      </c>
      <c r="AW100" s="95" t="str">
        <f t="shared" si="37"/>
        <v/>
      </c>
    </row>
    <row r="101" spans="1:49" x14ac:dyDescent="0.3">
      <c r="A101" s="4"/>
      <c r="B101" s="4"/>
      <c r="C101" s="11" t="str">
        <f t="shared" si="43"/>
        <v/>
      </c>
      <c r="D101" s="18"/>
      <c r="E101" s="64"/>
      <c r="F101" s="64"/>
      <c r="G101" s="10" t="str">
        <f t="shared" si="44"/>
        <v/>
      </c>
      <c r="H101" s="4"/>
      <c r="I101" s="4"/>
      <c r="J101" s="170" t="str">
        <f t="shared" si="38"/>
        <v/>
      </c>
      <c r="K101" s="170" t="str">
        <f t="shared" si="45"/>
        <v/>
      </c>
      <c r="L101" s="168" t="e">
        <f t="shared" si="46"/>
        <v>#N/A</v>
      </c>
      <c r="M101" s="168" t="e">
        <f t="shared" si="47"/>
        <v>#N/A</v>
      </c>
      <c r="O101" s="98" t="str">
        <f t="shared" si="39"/>
        <v/>
      </c>
      <c r="P101" s="98" t="str">
        <f t="shared" si="48"/>
        <v/>
      </c>
      <c r="Q101" s="95" t="str">
        <f t="shared" ref="Q101:Q119" si="59">IF(J101="", "", IF(C101=CT_cnt,P101+0.221157*(1/SQRT(CT_cnt))-0.147981*(1/SQRT(CT_cnt))^2-2.07119*(1/SQRT(CT_cnt))^3+4.434685*(1/SQRT(CT_cnt))^4-2.706056*(1/SQRT(CT_cnt))^5, IF(C101=(CT_cnt-1),P101+0.042981*(1/SQRT(CT_cnt))-0.293762*(1/SQRT(CT_cnt))^2-1.752461*(1/SQRT(CT_cnt))^3+5.682633*(1/SQRT(CT_cnt))^4-3.582663*(1/SQRT(CT_cnt))^5,O101/SQRT($P$20))))</f>
        <v/>
      </c>
      <c r="R101" s="97" t="str">
        <v/>
      </c>
      <c r="S101" s="97" t="str">
        <f t="shared" si="40"/>
        <v/>
      </c>
      <c r="T101" s="95" t="str">
        <f t="shared" si="49"/>
        <v/>
      </c>
      <c r="V101" s="98" t="str">
        <f t="shared" si="41"/>
        <v/>
      </c>
      <c r="W101" s="98" t="str">
        <f t="shared" si="50"/>
        <v/>
      </c>
      <c r="X101" s="95" t="str">
        <f t="shared" ref="X101:X120" si="60">IF($K101="", "", IF(C101=TX_cnt,W101+0.221157*(1/SQRT(TX_cnt))-0.147981*(1/SQRT(TX_cnt))^2-2.07119*(1/SQRT(TX_cnt))^3+4.434685*(1/SQRT(TX_cnt))^4-2.706056*(1/SQRT(TX_cnt))^5, IF(C101=(TX_cnt-1),W101+0.042981*(1/SQRT(TX_cnt))-0.293762*(1/SQRT(TX_cnt))^2-1.752461*(1/SQRT(TX_cnt))^3+5.682633*(1/SQRT(TX_cnt))^4-3.582663*(1/SQRT(TX_cnt))^5,V101/SQRT($W$20))))</f>
        <v/>
      </c>
      <c r="Y101" s="95" t="str">
        <v/>
      </c>
      <c r="Z101" s="95" t="str">
        <f t="shared" si="42"/>
        <v/>
      </c>
      <c r="AA101" s="95" t="str">
        <f t="shared" si="51"/>
        <v/>
      </c>
      <c r="AC101" s="95" t="str">
        <f t="shared" si="52"/>
        <v/>
      </c>
      <c r="AD101" s="95" t="str">
        <f t="shared" si="53"/>
        <v/>
      </c>
      <c r="AH101" s="97"/>
      <c r="AL101" s="95" t="str">
        <f t="shared" si="54"/>
        <v/>
      </c>
      <c r="AM101" s="95" t="str">
        <f t="shared" si="55"/>
        <v/>
      </c>
      <c r="AN101" s="95" t="str">
        <f t="shared" si="56"/>
        <v/>
      </c>
      <c r="AO101" s="95" t="str">
        <f t="shared" si="57"/>
        <v/>
      </c>
      <c r="AP101" s="95" t="str">
        <f t="shared" si="58"/>
        <v/>
      </c>
      <c r="AS101" s="97" t="str">
        <f t="shared" si="34"/>
        <v/>
      </c>
      <c r="AT101" s="98" t="str">
        <f t="shared" si="35"/>
        <v/>
      </c>
      <c r="AU101" s="98" t="str">
        <f t="shared" si="36"/>
        <v/>
      </c>
      <c r="AV101" s="95" t="str">
        <f>IF(AQ101="", "", IF(AQ101=$AT$6,AU101+0.221157*(1/SQRT($AT$6))-0.147981*(1/SQRT($AT$6))^2-2.07119*(1/SQRT($AT$6))^3+4.434685*(1/SQRT($AT$6))^4-2.706056*(1/SQRT($AT$6))^5, IF(AQ101=($AT$6-1),AU101+0.042981*(1/SQRT($AT$6))-0.293762*(1/SQRT($AT$6))^2-1.752461*(1/SQRT($AT$6))^3+5.682633*(1/SQRT($AT$6))^4-3.582663*(1/SQRT($AT$6))^5,AT101/SQRT(#REF!))))</f>
        <v/>
      </c>
      <c r="AW101" s="95" t="str">
        <f t="shared" si="37"/>
        <v/>
      </c>
    </row>
    <row r="102" spans="1:49" x14ac:dyDescent="0.3">
      <c r="A102" s="4"/>
      <c r="B102" s="4"/>
      <c r="C102" s="11" t="str">
        <f t="shared" si="43"/>
        <v/>
      </c>
      <c r="D102" s="18"/>
      <c r="E102" s="64"/>
      <c r="F102" s="64"/>
      <c r="G102" s="10" t="str">
        <f t="shared" si="44"/>
        <v/>
      </c>
      <c r="H102" s="4"/>
      <c r="I102" s="4"/>
      <c r="J102" s="170" t="str">
        <f t="shared" si="38"/>
        <v/>
      </c>
      <c r="K102" s="170" t="str">
        <f t="shared" si="45"/>
        <v/>
      </c>
      <c r="L102" s="168" t="e">
        <f t="shared" si="46"/>
        <v>#N/A</v>
      </c>
      <c r="M102" s="168" t="e">
        <f t="shared" si="47"/>
        <v>#N/A</v>
      </c>
      <c r="O102" s="98" t="str">
        <f t="shared" si="39"/>
        <v/>
      </c>
      <c r="P102" s="98" t="str">
        <f t="shared" si="48"/>
        <v/>
      </c>
      <c r="Q102" s="95" t="str">
        <f t="shared" si="59"/>
        <v/>
      </c>
      <c r="R102" s="97" t="str">
        <v/>
      </c>
      <c r="S102" s="97" t="str">
        <f t="shared" si="40"/>
        <v/>
      </c>
      <c r="T102" s="95" t="str">
        <f t="shared" si="49"/>
        <v/>
      </c>
      <c r="V102" s="98" t="str">
        <f t="shared" si="41"/>
        <v/>
      </c>
      <c r="W102" s="98" t="str">
        <f t="shared" si="50"/>
        <v/>
      </c>
      <c r="X102" s="95" t="str">
        <f t="shared" si="60"/>
        <v/>
      </c>
      <c r="Y102" s="95" t="str">
        <v/>
      </c>
      <c r="Z102" s="95" t="str">
        <f t="shared" si="42"/>
        <v/>
      </c>
      <c r="AA102" s="95" t="str">
        <f t="shared" si="51"/>
        <v/>
      </c>
      <c r="AC102" s="95" t="str">
        <f t="shared" si="52"/>
        <v/>
      </c>
      <c r="AD102" s="95" t="str">
        <f t="shared" si="53"/>
        <v/>
      </c>
      <c r="AH102" s="97"/>
      <c r="AL102" s="95" t="str">
        <f t="shared" si="54"/>
        <v/>
      </c>
      <c r="AM102" s="95" t="str">
        <f t="shared" si="55"/>
        <v/>
      </c>
      <c r="AN102" s="95" t="str">
        <f t="shared" si="56"/>
        <v/>
      </c>
      <c r="AO102" s="95" t="str">
        <f t="shared" si="57"/>
        <v/>
      </c>
      <c r="AP102" s="95" t="str">
        <f t="shared" si="58"/>
        <v/>
      </c>
      <c r="AS102" s="97" t="str">
        <f t="shared" si="34"/>
        <v/>
      </c>
      <c r="AT102" s="98" t="str">
        <f t="shared" si="35"/>
        <v/>
      </c>
      <c r="AU102" s="98" t="str">
        <f t="shared" si="36"/>
        <v/>
      </c>
      <c r="AV102" s="95" t="str">
        <f>IF(AQ102="", "", IF(AQ102=$AT$6,AU102+0.221157*(1/SQRT($AT$6))-0.147981*(1/SQRT($AT$6))^2-2.07119*(1/SQRT($AT$6))^3+4.434685*(1/SQRT($AT$6))^4-2.706056*(1/SQRT($AT$6))^5, IF(AQ102=($AT$6-1),AU102+0.042981*(1/SQRT($AT$6))-0.293762*(1/SQRT($AT$6))^2-1.752461*(1/SQRT($AT$6))^3+5.682633*(1/SQRT($AT$6))^4-3.582663*(1/SQRT($AT$6))^5,AT102/SQRT(#REF!))))</f>
        <v/>
      </c>
      <c r="AW102" s="95" t="str">
        <f t="shared" si="37"/>
        <v/>
      </c>
    </row>
    <row r="103" spans="1:49" x14ac:dyDescent="0.3">
      <c r="A103" s="4"/>
      <c r="B103" s="4"/>
      <c r="C103" s="11" t="str">
        <f t="shared" si="43"/>
        <v/>
      </c>
      <c r="D103" s="19"/>
      <c r="E103" s="64"/>
      <c r="F103" s="64"/>
      <c r="G103" s="10" t="str">
        <f t="shared" si="44"/>
        <v/>
      </c>
      <c r="H103" s="4"/>
      <c r="I103" s="4"/>
      <c r="J103" s="170" t="str">
        <f t="shared" si="38"/>
        <v/>
      </c>
      <c r="K103" s="170" t="str">
        <f t="shared" si="45"/>
        <v/>
      </c>
      <c r="L103" s="168" t="e">
        <f t="shared" si="46"/>
        <v>#N/A</v>
      </c>
      <c r="M103" s="168" t="e">
        <f t="shared" si="47"/>
        <v>#N/A</v>
      </c>
      <c r="O103" s="98" t="str">
        <f t="shared" si="39"/>
        <v/>
      </c>
      <c r="P103" s="98" t="str">
        <f t="shared" si="48"/>
        <v/>
      </c>
      <c r="Q103" s="95" t="str">
        <f t="shared" si="59"/>
        <v/>
      </c>
      <c r="R103" s="97" t="str">
        <v/>
      </c>
      <c r="S103" s="97" t="str">
        <f t="shared" si="40"/>
        <v/>
      </c>
      <c r="T103" s="95" t="str">
        <f t="shared" si="49"/>
        <v/>
      </c>
      <c r="V103" s="98" t="str">
        <f t="shared" si="41"/>
        <v/>
      </c>
      <c r="W103" s="98" t="str">
        <f t="shared" si="50"/>
        <v/>
      </c>
      <c r="X103" s="95" t="str">
        <f t="shared" si="60"/>
        <v/>
      </c>
      <c r="Y103" s="95" t="str">
        <v/>
      </c>
      <c r="Z103" s="95" t="str">
        <f t="shared" si="42"/>
        <v/>
      </c>
      <c r="AA103" s="95" t="str">
        <f t="shared" si="51"/>
        <v/>
      </c>
      <c r="AC103" s="95" t="str">
        <f t="shared" si="52"/>
        <v/>
      </c>
      <c r="AD103" s="95" t="str">
        <f t="shared" si="53"/>
        <v/>
      </c>
      <c r="AH103" s="97"/>
      <c r="AL103" s="95" t="str">
        <f t="shared" si="54"/>
        <v/>
      </c>
      <c r="AM103" s="95" t="str">
        <f t="shared" si="55"/>
        <v/>
      </c>
      <c r="AN103" s="95" t="str">
        <f t="shared" si="56"/>
        <v/>
      </c>
      <c r="AO103" s="95" t="str">
        <f t="shared" si="57"/>
        <v/>
      </c>
      <c r="AP103" s="95" t="str">
        <f t="shared" si="58"/>
        <v/>
      </c>
      <c r="AS103" s="97" t="str">
        <f t="shared" si="34"/>
        <v/>
      </c>
      <c r="AT103" s="98" t="str">
        <f t="shared" si="35"/>
        <v/>
      </c>
      <c r="AU103" s="98" t="str">
        <f t="shared" si="36"/>
        <v/>
      </c>
      <c r="AV103" s="95" t="str">
        <f>IF(AQ103="", "", IF(AQ103=$AT$6,AU103+0.221157*(1/SQRT($AT$6))-0.147981*(1/SQRT($AT$6))^2-2.07119*(1/SQRT($AT$6))^3+4.434685*(1/SQRT($AT$6))^4-2.706056*(1/SQRT($AT$6))^5, IF(AQ103=($AT$6-1),AU103+0.042981*(1/SQRT($AT$6))-0.293762*(1/SQRT($AT$6))^2-1.752461*(1/SQRT($AT$6))^3+5.682633*(1/SQRT($AT$6))^4-3.582663*(1/SQRT($AT$6))^5,AT103/SQRT(#REF!))))</f>
        <v/>
      </c>
      <c r="AW103" s="95" t="str">
        <f t="shared" si="37"/>
        <v/>
      </c>
    </row>
    <row r="104" spans="1:49" x14ac:dyDescent="0.3">
      <c r="A104" s="4"/>
      <c r="B104" s="4"/>
      <c r="C104" s="11" t="str">
        <f t="shared" si="43"/>
        <v/>
      </c>
      <c r="D104" s="19"/>
      <c r="E104" s="64"/>
      <c r="F104" s="64"/>
      <c r="G104" s="10" t="str">
        <f t="shared" si="44"/>
        <v/>
      </c>
      <c r="H104" s="4"/>
      <c r="I104" s="4"/>
      <c r="J104" s="170" t="str">
        <f t="shared" si="38"/>
        <v/>
      </c>
      <c r="K104" s="170" t="str">
        <f t="shared" si="45"/>
        <v/>
      </c>
      <c r="L104" s="168" t="e">
        <f t="shared" si="46"/>
        <v>#N/A</v>
      </c>
      <c r="M104" s="168" t="e">
        <f t="shared" si="47"/>
        <v>#N/A</v>
      </c>
      <c r="O104" s="98" t="str">
        <f t="shared" si="39"/>
        <v/>
      </c>
      <c r="P104" s="98" t="str">
        <f t="shared" si="48"/>
        <v/>
      </c>
      <c r="Q104" s="95" t="str">
        <f t="shared" si="59"/>
        <v/>
      </c>
      <c r="R104" s="97" t="str">
        <v/>
      </c>
      <c r="S104" s="97" t="str">
        <f t="shared" si="40"/>
        <v/>
      </c>
      <c r="T104" s="95" t="str">
        <f t="shared" si="49"/>
        <v/>
      </c>
      <c r="V104" s="98" t="str">
        <f t="shared" si="41"/>
        <v/>
      </c>
      <c r="W104" s="98" t="str">
        <f t="shared" si="50"/>
        <v/>
      </c>
      <c r="X104" s="95" t="str">
        <f t="shared" si="60"/>
        <v/>
      </c>
      <c r="Y104" s="95" t="str">
        <v/>
      </c>
      <c r="Z104" s="95" t="str">
        <f t="shared" si="42"/>
        <v/>
      </c>
      <c r="AA104" s="95" t="str">
        <f t="shared" si="51"/>
        <v/>
      </c>
      <c r="AC104" s="95" t="str">
        <f t="shared" si="52"/>
        <v/>
      </c>
      <c r="AD104" s="95" t="str">
        <f t="shared" si="53"/>
        <v/>
      </c>
      <c r="AH104" s="97"/>
      <c r="AL104" s="95" t="str">
        <f t="shared" si="54"/>
        <v/>
      </c>
      <c r="AM104" s="95" t="str">
        <f t="shared" si="55"/>
        <v/>
      </c>
      <c r="AN104" s="95" t="str">
        <f t="shared" si="56"/>
        <v/>
      </c>
      <c r="AO104" s="95" t="str">
        <f t="shared" si="57"/>
        <v/>
      </c>
      <c r="AP104" s="95" t="str">
        <f t="shared" si="58"/>
        <v/>
      </c>
      <c r="AS104" s="97" t="str">
        <f t="shared" si="34"/>
        <v/>
      </c>
      <c r="AT104" s="98" t="str">
        <f t="shared" si="35"/>
        <v/>
      </c>
      <c r="AU104" s="98" t="str">
        <f t="shared" si="36"/>
        <v/>
      </c>
      <c r="AV104" s="95" t="str">
        <f>IF(AQ104="", "", IF(AQ104=$AT$6,AU104+0.221157*(1/SQRT($AT$6))-0.147981*(1/SQRT($AT$6))^2-2.07119*(1/SQRT($AT$6))^3+4.434685*(1/SQRT($AT$6))^4-2.706056*(1/SQRT($AT$6))^5, IF(AQ104=($AT$6-1),AU104+0.042981*(1/SQRT($AT$6))-0.293762*(1/SQRT($AT$6))^2-1.752461*(1/SQRT($AT$6))^3+5.682633*(1/SQRT($AT$6))^4-3.582663*(1/SQRT($AT$6))^5,AT104/SQRT(#REF!))))</f>
        <v/>
      </c>
      <c r="AW104" s="95" t="str">
        <f t="shared" si="37"/>
        <v/>
      </c>
    </row>
    <row r="105" spans="1:49" x14ac:dyDescent="0.3">
      <c r="A105" s="4"/>
      <c r="B105" s="4"/>
      <c r="C105" s="11" t="str">
        <f t="shared" si="43"/>
        <v/>
      </c>
      <c r="D105" s="19"/>
      <c r="E105" s="64"/>
      <c r="F105" s="64"/>
      <c r="G105" s="10" t="str">
        <f t="shared" si="44"/>
        <v/>
      </c>
      <c r="H105" s="4"/>
      <c r="I105" s="4"/>
      <c r="J105" s="170" t="str">
        <f t="shared" si="38"/>
        <v/>
      </c>
      <c r="K105" s="170" t="str">
        <f t="shared" si="45"/>
        <v/>
      </c>
      <c r="L105" s="168" t="e">
        <f t="shared" si="46"/>
        <v>#N/A</v>
      </c>
      <c r="M105" s="168" t="e">
        <f t="shared" si="47"/>
        <v>#N/A</v>
      </c>
      <c r="O105" s="98" t="str">
        <f t="shared" si="39"/>
        <v/>
      </c>
      <c r="P105" s="98" t="str">
        <f t="shared" si="48"/>
        <v/>
      </c>
      <c r="Q105" s="95" t="str">
        <f t="shared" si="59"/>
        <v/>
      </c>
      <c r="R105" s="97" t="str">
        <v/>
      </c>
      <c r="S105" s="97" t="str">
        <f t="shared" si="40"/>
        <v/>
      </c>
      <c r="T105" s="95" t="str">
        <f t="shared" si="49"/>
        <v/>
      </c>
      <c r="V105" s="98" t="str">
        <f t="shared" si="41"/>
        <v/>
      </c>
      <c r="W105" s="98" t="str">
        <f t="shared" si="50"/>
        <v/>
      </c>
      <c r="X105" s="95" t="str">
        <f t="shared" si="60"/>
        <v/>
      </c>
      <c r="Y105" s="95" t="str">
        <v/>
      </c>
      <c r="Z105" s="95" t="str">
        <f t="shared" si="42"/>
        <v/>
      </c>
      <c r="AA105" s="95" t="str">
        <f t="shared" si="51"/>
        <v/>
      </c>
      <c r="AC105" s="95" t="str">
        <f t="shared" si="52"/>
        <v/>
      </c>
      <c r="AD105" s="95" t="str">
        <f t="shared" si="53"/>
        <v/>
      </c>
      <c r="AH105" s="97"/>
      <c r="AL105" s="95" t="str">
        <f t="shared" si="54"/>
        <v/>
      </c>
      <c r="AM105" s="95" t="str">
        <f t="shared" si="55"/>
        <v/>
      </c>
      <c r="AN105" s="95" t="str">
        <f t="shared" si="56"/>
        <v/>
      </c>
      <c r="AO105" s="95" t="str">
        <f t="shared" si="57"/>
        <v/>
      </c>
      <c r="AP105" s="95" t="str">
        <f t="shared" si="58"/>
        <v/>
      </c>
      <c r="AS105" s="97" t="str">
        <f t="shared" si="34"/>
        <v/>
      </c>
      <c r="AT105" s="98" t="str">
        <f t="shared" si="35"/>
        <v/>
      </c>
      <c r="AU105" s="98" t="str">
        <f t="shared" si="36"/>
        <v/>
      </c>
      <c r="AV105" s="95" t="str">
        <f>IF(AQ105="", "", IF(AQ105=$AT$6,AU105+0.221157*(1/SQRT($AT$6))-0.147981*(1/SQRT($AT$6))^2-2.07119*(1/SQRT($AT$6))^3+4.434685*(1/SQRT($AT$6))^4-2.706056*(1/SQRT($AT$6))^5, IF(AQ105=($AT$6-1),AU105+0.042981*(1/SQRT($AT$6))-0.293762*(1/SQRT($AT$6))^2-1.752461*(1/SQRT($AT$6))^3+5.682633*(1/SQRT($AT$6))^4-3.582663*(1/SQRT($AT$6))^5,AT105/SQRT(#REF!))))</f>
        <v/>
      </c>
      <c r="AW105" s="95" t="str">
        <f t="shared" si="37"/>
        <v/>
      </c>
    </row>
    <row r="106" spans="1:49" x14ac:dyDescent="0.3">
      <c r="A106" s="4"/>
      <c r="B106" s="4"/>
      <c r="C106" s="11" t="str">
        <f t="shared" si="43"/>
        <v/>
      </c>
      <c r="D106" s="19"/>
      <c r="E106" s="64"/>
      <c r="F106" s="64"/>
      <c r="G106" s="10" t="str">
        <f t="shared" si="44"/>
        <v/>
      </c>
      <c r="H106" s="4"/>
      <c r="I106" s="4"/>
      <c r="J106" s="170" t="str">
        <f t="shared" si="38"/>
        <v/>
      </c>
      <c r="K106" s="170" t="str">
        <f t="shared" si="45"/>
        <v/>
      </c>
      <c r="L106" s="168" t="e">
        <f t="shared" si="46"/>
        <v>#N/A</v>
      </c>
      <c r="M106" s="168" t="e">
        <f t="shared" si="47"/>
        <v>#N/A</v>
      </c>
      <c r="O106" s="98" t="str">
        <f t="shared" si="39"/>
        <v/>
      </c>
      <c r="P106" s="98" t="str">
        <f t="shared" si="48"/>
        <v/>
      </c>
      <c r="Q106" s="95" t="str">
        <f t="shared" si="59"/>
        <v/>
      </c>
      <c r="R106" s="97" t="str">
        <v/>
      </c>
      <c r="S106" s="97" t="str">
        <f t="shared" si="40"/>
        <v/>
      </c>
      <c r="T106" s="95" t="str">
        <f t="shared" si="49"/>
        <v/>
      </c>
      <c r="V106" s="98" t="str">
        <f t="shared" si="41"/>
        <v/>
      </c>
      <c r="W106" s="98" t="str">
        <f t="shared" si="50"/>
        <v/>
      </c>
      <c r="X106" s="95" t="str">
        <f t="shared" si="60"/>
        <v/>
      </c>
      <c r="Y106" s="95" t="str">
        <v/>
      </c>
      <c r="Z106" s="95" t="str">
        <f t="shared" si="42"/>
        <v/>
      </c>
      <c r="AA106" s="95" t="str">
        <f t="shared" si="51"/>
        <v/>
      </c>
      <c r="AC106" s="95" t="str">
        <f t="shared" si="52"/>
        <v/>
      </c>
      <c r="AD106" s="95" t="str">
        <f t="shared" si="53"/>
        <v/>
      </c>
      <c r="AL106" s="95" t="str">
        <f t="shared" si="54"/>
        <v/>
      </c>
      <c r="AM106" s="95" t="str">
        <f t="shared" si="55"/>
        <v/>
      </c>
      <c r="AN106" s="95" t="str">
        <f t="shared" si="56"/>
        <v/>
      </c>
      <c r="AO106" s="95" t="str">
        <f t="shared" si="57"/>
        <v/>
      </c>
      <c r="AP106" s="95" t="str">
        <f t="shared" si="58"/>
        <v/>
      </c>
    </row>
    <row r="107" spans="1:49" x14ac:dyDescent="0.3">
      <c r="A107" s="4"/>
      <c r="B107" s="4"/>
      <c r="C107" s="11" t="str">
        <f t="shared" si="43"/>
        <v/>
      </c>
      <c r="D107" s="19"/>
      <c r="E107" s="64"/>
      <c r="F107" s="64"/>
      <c r="G107" s="10" t="str">
        <f t="shared" si="44"/>
        <v/>
      </c>
      <c r="H107" s="4"/>
      <c r="I107" s="4"/>
      <c r="J107" s="170" t="str">
        <f t="shared" si="38"/>
        <v/>
      </c>
      <c r="K107" s="170" t="str">
        <f t="shared" si="45"/>
        <v/>
      </c>
      <c r="L107" s="168" t="e">
        <f t="shared" si="46"/>
        <v>#N/A</v>
      </c>
      <c r="M107" s="168" t="e">
        <f t="shared" si="47"/>
        <v>#N/A</v>
      </c>
      <c r="O107" s="98" t="str">
        <f t="shared" si="39"/>
        <v/>
      </c>
      <c r="P107" s="98" t="str">
        <f t="shared" si="48"/>
        <v/>
      </c>
      <c r="Q107" s="95" t="str">
        <f t="shared" si="59"/>
        <v/>
      </c>
      <c r="R107" s="97" t="str">
        <v/>
      </c>
      <c r="S107" s="97" t="str">
        <f t="shared" si="40"/>
        <v/>
      </c>
      <c r="T107" s="95" t="str">
        <f t="shared" si="49"/>
        <v/>
      </c>
      <c r="V107" s="98" t="str">
        <f t="shared" si="41"/>
        <v/>
      </c>
      <c r="W107" s="98" t="str">
        <f t="shared" si="50"/>
        <v/>
      </c>
      <c r="X107" s="95" t="str">
        <f t="shared" si="60"/>
        <v/>
      </c>
      <c r="Y107" s="95" t="str">
        <v/>
      </c>
      <c r="Z107" s="95" t="str">
        <f t="shared" si="42"/>
        <v/>
      </c>
      <c r="AA107" s="95" t="str">
        <f t="shared" si="51"/>
        <v/>
      </c>
      <c r="AC107" s="95" t="str">
        <f t="shared" si="52"/>
        <v/>
      </c>
      <c r="AD107" s="95" t="str">
        <f t="shared" si="53"/>
        <v/>
      </c>
      <c r="AL107" s="95" t="str">
        <f t="shared" si="54"/>
        <v/>
      </c>
      <c r="AM107" s="95" t="str">
        <f t="shared" si="55"/>
        <v/>
      </c>
      <c r="AN107" s="95" t="str">
        <f t="shared" si="56"/>
        <v/>
      </c>
      <c r="AO107" s="95" t="str">
        <f t="shared" si="57"/>
        <v/>
      </c>
      <c r="AP107" s="95" t="str">
        <f t="shared" si="58"/>
        <v/>
      </c>
    </row>
    <row r="108" spans="1:49" x14ac:dyDescent="0.3">
      <c r="A108" s="4"/>
      <c r="B108" s="4"/>
      <c r="C108" s="11" t="str">
        <f t="shared" si="43"/>
        <v/>
      </c>
      <c r="D108" s="19"/>
      <c r="E108" s="64"/>
      <c r="F108" s="64"/>
      <c r="G108" s="10" t="str">
        <f t="shared" si="44"/>
        <v/>
      </c>
      <c r="H108" s="4"/>
      <c r="I108" s="4"/>
      <c r="J108" s="170" t="str">
        <f t="shared" si="38"/>
        <v/>
      </c>
      <c r="K108" s="170" t="str">
        <f t="shared" si="45"/>
        <v/>
      </c>
      <c r="L108" s="168" t="e">
        <f t="shared" si="46"/>
        <v>#N/A</v>
      </c>
      <c r="M108" s="168" t="e">
        <f t="shared" si="47"/>
        <v>#N/A</v>
      </c>
      <c r="O108" s="98" t="str">
        <f t="shared" si="39"/>
        <v/>
      </c>
      <c r="P108" s="98" t="str">
        <f t="shared" si="48"/>
        <v/>
      </c>
      <c r="Q108" s="95" t="str">
        <f t="shared" si="59"/>
        <v/>
      </c>
      <c r="R108" s="97" t="str">
        <v/>
      </c>
      <c r="S108" s="97" t="str">
        <f t="shared" si="40"/>
        <v/>
      </c>
      <c r="T108" s="95" t="str">
        <f t="shared" si="49"/>
        <v/>
      </c>
      <c r="V108" s="98" t="str">
        <f t="shared" si="41"/>
        <v/>
      </c>
      <c r="W108" s="98" t="str">
        <f t="shared" si="50"/>
        <v/>
      </c>
      <c r="X108" s="95" t="str">
        <f t="shared" si="60"/>
        <v/>
      </c>
      <c r="Y108" s="95" t="str">
        <v/>
      </c>
      <c r="Z108" s="95" t="str">
        <f t="shared" si="42"/>
        <v/>
      </c>
      <c r="AA108" s="95" t="str">
        <f t="shared" si="51"/>
        <v/>
      </c>
      <c r="AC108" s="95" t="str">
        <f t="shared" si="52"/>
        <v/>
      </c>
      <c r="AD108" s="95" t="str">
        <f t="shared" si="53"/>
        <v/>
      </c>
      <c r="AL108" s="95" t="str">
        <f t="shared" si="54"/>
        <v/>
      </c>
      <c r="AM108" s="95" t="str">
        <f t="shared" si="55"/>
        <v/>
      </c>
      <c r="AN108" s="95" t="str">
        <f t="shared" si="56"/>
        <v/>
      </c>
      <c r="AO108" s="95" t="str">
        <f t="shared" si="57"/>
        <v/>
      </c>
      <c r="AP108" s="95" t="str">
        <f t="shared" si="58"/>
        <v/>
      </c>
    </row>
    <row r="109" spans="1:49" x14ac:dyDescent="0.3">
      <c r="A109" s="4"/>
      <c r="B109" s="4"/>
      <c r="C109" s="11" t="str">
        <f t="shared" si="43"/>
        <v/>
      </c>
      <c r="D109" s="19"/>
      <c r="E109" s="64"/>
      <c r="F109" s="64"/>
      <c r="G109" s="10" t="str">
        <f t="shared" si="44"/>
        <v/>
      </c>
      <c r="H109" s="4"/>
      <c r="I109" s="4"/>
      <c r="J109" s="170" t="str">
        <f t="shared" si="38"/>
        <v/>
      </c>
      <c r="K109" s="170" t="str">
        <f t="shared" si="45"/>
        <v/>
      </c>
      <c r="L109" s="168" t="e">
        <f t="shared" si="46"/>
        <v>#N/A</v>
      </c>
      <c r="M109" s="168" t="e">
        <f t="shared" si="47"/>
        <v>#N/A</v>
      </c>
      <c r="O109" s="98" t="str">
        <f t="shared" si="39"/>
        <v/>
      </c>
      <c r="P109" s="98" t="str">
        <f t="shared" si="48"/>
        <v/>
      </c>
      <c r="Q109" s="95" t="str">
        <f t="shared" si="59"/>
        <v/>
      </c>
      <c r="R109" s="97" t="str">
        <v/>
      </c>
      <c r="S109" s="97" t="str">
        <f t="shared" si="40"/>
        <v/>
      </c>
      <c r="T109" s="95" t="str">
        <f t="shared" si="49"/>
        <v/>
      </c>
      <c r="V109" s="98" t="str">
        <f t="shared" si="41"/>
        <v/>
      </c>
      <c r="W109" s="98" t="str">
        <f t="shared" si="50"/>
        <v/>
      </c>
      <c r="X109" s="95" t="str">
        <f t="shared" si="60"/>
        <v/>
      </c>
      <c r="Y109" s="95" t="str">
        <v/>
      </c>
      <c r="Z109" s="95" t="str">
        <f t="shared" si="42"/>
        <v/>
      </c>
      <c r="AA109" s="95" t="str">
        <f t="shared" si="51"/>
        <v/>
      </c>
      <c r="AC109" s="95" t="str">
        <f t="shared" si="52"/>
        <v/>
      </c>
      <c r="AD109" s="95" t="str">
        <f t="shared" si="53"/>
        <v/>
      </c>
      <c r="AL109" s="95" t="str">
        <f t="shared" si="54"/>
        <v/>
      </c>
      <c r="AM109" s="95" t="str">
        <f t="shared" si="55"/>
        <v/>
      </c>
      <c r="AN109" s="95" t="str">
        <f t="shared" si="56"/>
        <v/>
      </c>
      <c r="AO109" s="95" t="str">
        <f t="shared" si="57"/>
        <v/>
      </c>
      <c r="AP109" s="95" t="str">
        <f t="shared" si="58"/>
        <v/>
      </c>
    </row>
    <row r="110" spans="1:49" x14ac:dyDescent="0.3">
      <c r="A110" s="4"/>
      <c r="B110" s="4"/>
      <c r="C110" s="11" t="str">
        <f t="shared" si="43"/>
        <v/>
      </c>
      <c r="D110" s="19"/>
      <c r="E110" s="64"/>
      <c r="F110" s="64"/>
      <c r="G110" s="10" t="str">
        <f t="shared" si="44"/>
        <v/>
      </c>
      <c r="H110" s="4"/>
      <c r="I110" s="4"/>
      <c r="J110" s="170" t="str">
        <f t="shared" si="38"/>
        <v/>
      </c>
      <c r="K110" s="170" t="str">
        <f t="shared" si="45"/>
        <v/>
      </c>
      <c r="L110" s="168" t="e">
        <f t="shared" si="46"/>
        <v>#N/A</v>
      </c>
      <c r="M110" s="168" t="e">
        <f t="shared" si="47"/>
        <v>#N/A</v>
      </c>
      <c r="O110" s="98" t="str">
        <f t="shared" si="39"/>
        <v/>
      </c>
      <c r="P110" s="98" t="str">
        <f t="shared" si="48"/>
        <v/>
      </c>
      <c r="Q110" s="95" t="str">
        <f t="shared" si="59"/>
        <v/>
      </c>
      <c r="R110" s="97" t="str">
        <v/>
      </c>
      <c r="S110" s="97" t="str">
        <f t="shared" si="40"/>
        <v/>
      </c>
      <c r="T110" s="95" t="str">
        <f t="shared" si="49"/>
        <v/>
      </c>
      <c r="V110" s="98" t="str">
        <f t="shared" si="41"/>
        <v/>
      </c>
      <c r="W110" s="98" t="str">
        <f t="shared" si="50"/>
        <v/>
      </c>
      <c r="X110" s="95" t="str">
        <f t="shared" si="60"/>
        <v/>
      </c>
      <c r="Y110" s="95" t="str">
        <v/>
      </c>
      <c r="Z110" s="95" t="str">
        <f t="shared" si="42"/>
        <v/>
      </c>
      <c r="AA110" s="95" t="str">
        <f t="shared" si="51"/>
        <v/>
      </c>
      <c r="AC110" s="95" t="str">
        <f t="shared" si="52"/>
        <v/>
      </c>
      <c r="AD110" s="95" t="str">
        <f t="shared" si="53"/>
        <v/>
      </c>
      <c r="AL110" s="95" t="str">
        <f t="shared" si="54"/>
        <v/>
      </c>
      <c r="AM110" s="95" t="str">
        <f t="shared" si="55"/>
        <v/>
      </c>
      <c r="AN110" s="95" t="str">
        <f t="shared" si="56"/>
        <v/>
      </c>
      <c r="AO110" s="95" t="str">
        <f t="shared" si="57"/>
        <v/>
      </c>
      <c r="AP110" s="95" t="str">
        <f t="shared" si="58"/>
        <v/>
      </c>
    </row>
    <row r="111" spans="1:49" x14ac:dyDescent="0.3">
      <c r="A111" s="4"/>
      <c r="B111" s="4"/>
      <c r="C111" s="11" t="str">
        <f t="shared" si="43"/>
        <v/>
      </c>
      <c r="D111" s="19"/>
      <c r="E111" s="64"/>
      <c r="F111" s="64"/>
      <c r="G111" s="10" t="str">
        <f t="shared" si="44"/>
        <v/>
      </c>
      <c r="H111" s="4"/>
      <c r="I111" s="4"/>
      <c r="J111" s="170" t="str">
        <f t="shared" si="38"/>
        <v/>
      </c>
      <c r="K111" s="170" t="str">
        <f t="shared" si="45"/>
        <v/>
      </c>
      <c r="L111" s="168" t="e">
        <f t="shared" si="46"/>
        <v>#N/A</v>
      </c>
      <c r="M111" s="168" t="e">
        <f t="shared" si="47"/>
        <v>#N/A</v>
      </c>
      <c r="O111" s="98" t="str">
        <f t="shared" si="39"/>
        <v/>
      </c>
      <c r="P111" s="98" t="str">
        <f t="shared" si="48"/>
        <v/>
      </c>
      <c r="Q111" s="95" t="str">
        <f t="shared" si="59"/>
        <v/>
      </c>
      <c r="R111" s="97" t="str">
        <v/>
      </c>
      <c r="S111" s="97" t="str">
        <f t="shared" si="40"/>
        <v/>
      </c>
      <c r="T111" s="95" t="str">
        <f t="shared" si="49"/>
        <v/>
      </c>
      <c r="V111" s="98" t="str">
        <f t="shared" si="41"/>
        <v/>
      </c>
      <c r="W111" s="98" t="str">
        <f t="shared" si="50"/>
        <v/>
      </c>
      <c r="X111" s="95" t="str">
        <f t="shared" si="60"/>
        <v/>
      </c>
      <c r="Y111" s="95" t="str">
        <v/>
      </c>
      <c r="Z111" s="95" t="str">
        <f t="shared" si="42"/>
        <v/>
      </c>
      <c r="AA111" s="95" t="str">
        <f t="shared" si="51"/>
        <v/>
      </c>
      <c r="AC111" s="95" t="str">
        <f t="shared" si="52"/>
        <v/>
      </c>
      <c r="AD111" s="95" t="str">
        <f t="shared" si="53"/>
        <v/>
      </c>
      <c r="AL111" s="95" t="str">
        <f t="shared" si="54"/>
        <v/>
      </c>
      <c r="AM111" s="95" t="str">
        <f t="shared" si="55"/>
        <v/>
      </c>
      <c r="AN111" s="95" t="str">
        <f t="shared" si="56"/>
        <v/>
      </c>
      <c r="AO111" s="95" t="str">
        <f t="shared" si="57"/>
        <v/>
      </c>
      <c r="AP111" s="95" t="str">
        <f t="shared" si="58"/>
        <v/>
      </c>
    </row>
    <row r="112" spans="1:49" x14ac:dyDescent="0.3">
      <c r="A112" s="4"/>
      <c r="B112" s="4"/>
      <c r="C112" s="11" t="str">
        <f t="shared" si="43"/>
        <v/>
      </c>
      <c r="D112" s="19"/>
      <c r="E112" s="64"/>
      <c r="F112" s="64"/>
      <c r="G112" s="10" t="str">
        <f t="shared" si="44"/>
        <v/>
      </c>
      <c r="H112" s="4"/>
      <c r="I112" s="4"/>
      <c r="J112" s="170" t="str">
        <f t="shared" si="38"/>
        <v/>
      </c>
      <c r="K112" s="170" t="str">
        <f t="shared" si="45"/>
        <v/>
      </c>
      <c r="L112" s="168" t="e">
        <f t="shared" si="46"/>
        <v>#N/A</v>
      </c>
      <c r="M112" s="168" t="e">
        <f t="shared" si="47"/>
        <v>#N/A</v>
      </c>
      <c r="O112" s="98" t="str">
        <f t="shared" si="39"/>
        <v/>
      </c>
      <c r="P112" s="98" t="str">
        <f t="shared" si="48"/>
        <v/>
      </c>
      <c r="Q112" s="95" t="str">
        <f t="shared" si="59"/>
        <v/>
      </c>
      <c r="R112" s="97" t="str">
        <v/>
      </c>
      <c r="S112" s="97" t="str">
        <f t="shared" si="40"/>
        <v/>
      </c>
      <c r="T112" s="95" t="str">
        <f t="shared" si="49"/>
        <v/>
      </c>
      <c r="V112" s="98" t="str">
        <f t="shared" si="41"/>
        <v/>
      </c>
      <c r="W112" s="98" t="str">
        <f t="shared" si="50"/>
        <v/>
      </c>
      <c r="X112" s="95" t="str">
        <f t="shared" si="60"/>
        <v/>
      </c>
      <c r="Y112" s="95" t="str">
        <v/>
      </c>
      <c r="Z112" s="95" t="str">
        <f t="shared" si="42"/>
        <v/>
      </c>
      <c r="AA112" s="95" t="str">
        <f t="shared" si="51"/>
        <v/>
      </c>
      <c r="AC112" s="95" t="str">
        <f t="shared" si="52"/>
        <v/>
      </c>
      <c r="AD112" s="95" t="str">
        <f t="shared" si="53"/>
        <v/>
      </c>
      <c r="AL112" s="95" t="str">
        <f t="shared" si="54"/>
        <v/>
      </c>
      <c r="AM112" s="95" t="str">
        <f t="shared" si="55"/>
        <v/>
      </c>
      <c r="AN112" s="95" t="str">
        <f t="shared" si="56"/>
        <v/>
      </c>
      <c r="AO112" s="95" t="str">
        <f t="shared" si="57"/>
        <v/>
      </c>
      <c r="AP112" s="95" t="str">
        <f t="shared" si="58"/>
        <v/>
      </c>
    </row>
    <row r="113" spans="1:42" x14ac:dyDescent="0.3">
      <c r="A113" s="4"/>
      <c r="B113" s="4"/>
      <c r="C113" s="11" t="str">
        <f t="shared" si="43"/>
        <v/>
      </c>
      <c r="D113" s="19"/>
      <c r="E113" s="64"/>
      <c r="F113" s="64"/>
      <c r="G113" s="10" t="str">
        <f t="shared" si="44"/>
        <v/>
      </c>
      <c r="H113" s="4"/>
      <c r="I113" s="4"/>
      <c r="J113" s="170" t="str">
        <f t="shared" si="38"/>
        <v/>
      </c>
      <c r="K113" s="170" t="str">
        <f t="shared" si="45"/>
        <v/>
      </c>
      <c r="L113" s="168" t="e">
        <f t="shared" si="46"/>
        <v>#N/A</v>
      </c>
      <c r="M113" s="168" t="e">
        <f t="shared" si="47"/>
        <v>#N/A</v>
      </c>
      <c r="O113" s="98" t="str">
        <f t="shared" si="39"/>
        <v/>
      </c>
      <c r="P113" s="98" t="str">
        <f t="shared" si="48"/>
        <v/>
      </c>
      <c r="Q113" s="95" t="str">
        <f t="shared" si="59"/>
        <v/>
      </c>
      <c r="R113" s="97" t="str">
        <v/>
      </c>
      <c r="S113" s="97" t="str">
        <f t="shared" si="40"/>
        <v/>
      </c>
      <c r="T113" s="95" t="str">
        <f t="shared" si="49"/>
        <v/>
      </c>
      <c r="V113" s="98" t="str">
        <f t="shared" si="41"/>
        <v/>
      </c>
      <c r="W113" s="98" t="str">
        <f t="shared" si="50"/>
        <v/>
      </c>
      <c r="X113" s="95" t="str">
        <f t="shared" si="60"/>
        <v/>
      </c>
      <c r="Y113" s="95" t="str">
        <v/>
      </c>
      <c r="Z113" s="95" t="str">
        <f t="shared" si="42"/>
        <v/>
      </c>
      <c r="AA113" s="95" t="str">
        <f t="shared" si="51"/>
        <v/>
      </c>
      <c r="AC113" s="95" t="str">
        <f t="shared" si="52"/>
        <v/>
      </c>
      <c r="AD113" s="95" t="str">
        <f t="shared" si="53"/>
        <v/>
      </c>
      <c r="AL113" s="95" t="str">
        <f t="shared" si="54"/>
        <v/>
      </c>
      <c r="AM113" s="95" t="str">
        <f t="shared" si="55"/>
        <v/>
      </c>
      <c r="AN113" s="95" t="str">
        <f t="shared" si="56"/>
        <v/>
      </c>
      <c r="AO113" s="95" t="str">
        <f t="shared" si="57"/>
        <v/>
      </c>
      <c r="AP113" s="95" t="str">
        <f t="shared" si="58"/>
        <v/>
      </c>
    </row>
    <row r="114" spans="1:42" x14ac:dyDescent="0.3">
      <c r="A114" s="4"/>
      <c r="B114" s="4"/>
      <c r="C114" s="11" t="str">
        <f t="shared" si="43"/>
        <v/>
      </c>
      <c r="D114" s="19"/>
      <c r="E114" s="64"/>
      <c r="F114" s="64"/>
      <c r="G114" s="10" t="str">
        <f t="shared" si="44"/>
        <v/>
      </c>
      <c r="H114" s="4"/>
      <c r="I114" s="4"/>
      <c r="J114" s="170" t="str">
        <f t="shared" si="38"/>
        <v/>
      </c>
      <c r="K114" s="170" t="str">
        <f t="shared" si="45"/>
        <v/>
      </c>
      <c r="L114" s="168" t="e">
        <f t="shared" si="46"/>
        <v>#N/A</v>
      </c>
      <c r="M114" s="168" t="e">
        <f t="shared" si="47"/>
        <v>#N/A</v>
      </c>
      <c r="O114" s="98" t="str">
        <f t="shared" si="39"/>
        <v/>
      </c>
      <c r="P114" s="98" t="str">
        <f t="shared" si="48"/>
        <v/>
      </c>
      <c r="Q114" s="95" t="str">
        <f t="shared" si="59"/>
        <v/>
      </c>
      <c r="R114" s="97" t="str">
        <v/>
      </c>
      <c r="S114" s="97" t="str">
        <f t="shared" si="40"/>
        <v/>
      </c>
      <c r="T114" s="95" t="str">
        <f t="shared" si="49"/>
        <v/>
      </c>
      <c r="V114" s="98" t="str">
        <f t="shared" si="41"/>
        <v/>
      </c>
      <c r="W114" s="98" t="str">
        <f t="shared" si="50"/>
        <v/>
      </c>
      <c r="X114" s="95" t="str">
        <f t="shared" si="60"/>
        <v/>
      </c>
      <c r="Y114" s="95" t="str">
        <v/>
      </c>
      <c r="Z114" s="95" t="str">
        <f t="shared" si="42"/>
        <v/>
      </c>
      <c r="AA114" s="95" t="str">
        <f t="shared" si="51"/>
        <v/>
      </c>
      <c r="AC114" s="95" t="str">
        <f t="shared" si="52"/>
        <v/>
      </c>
      <c r="AD114" s="95" t="str">
        <f t="shared" si="53"/>
        <v/>
      </c>
      <c r="AL114" s="95" t="str">
        <f t="shared" si="54"/>
        <v/>
      </c>
      <c r="AM114" s="95" t="str">
        <f t="shared" si="55"/>
        <v/>
      </c>
      <c r="AN114" s="95" t="str">
        <f t="shared" si="56"/>
        <v/>
      </c>
      <c r="AO114" s="95" t="str">
        <f t="shared" si="57"/>
        <v/>
      </c>
      <c r="AP114" s="95" t="str">
        <f t="shared" si="58"/>
        <v/>
      </c>
    </row>
    <row r="115" spans="1:42" x14ac:dyDescent="0.3">
      <c r="A115" s="4"/>
      <c r="B115" s="4"/>
      <c r="C115" s="11" t="str">
        <f t="shared" si="43"/>
        <v/>
      </c>
      <c r="D115" s="19"/>
      <c r="E115" s="64"/>
      <c r="F115" s="64"/>
      <c r="G115" s="10" t="str">
        <f t="shared" si="44"/>
        <v/>
      </c>
      <c r="H115" s="4"/>
      <c r="I115" s="4"/>
      <c r="J115" s="170" t="str">
        <f t="shared" si="38"/>
        <v/>
      </c>
      <c r="K115" s="170" t="str">
        <f t="shared" si="45"/>
        <v/>
      </c>
      <c r="L115" s="168" t="e">
        <f t="shared" si="46"/>
        <v>#N/A</v>
      </c>
      <c r="M115" s="168" t="e">
        <f t="shared" si="47"/>
        <v>#N/A</v>
      </c>
      <c r="O115" s="98" t="str">
        <f t="shared" si="39"/>
        <v/>
      </c>
      <c r="P115" s="98" t="str">
        <f t="shared" si="48"/>
        <v/>
      </c>
      <c r="Q115" s="95" t="str">
        <f t="shared" si="59"/>
        <v/>
      </c>
      <c r="R115" s="97" t="str">
        <v/>
      </c>
      <c r="S115" s="97" t="str">
        <f t="shared" si="40"/>
        <v/>
      </c>
      <c r="T115" s="95" t="str">
        <f t="shared" si="49"/>
        <v/>
      </c>
      <c r="V115" s="98" t="str">
        <f t="shared" si="41"/>
        <v/>
      </c>
      <c r="W115" s="98" t="str">
        <f t="shared" si="50"/>
        <v/>
      </c>
      <c r="X115" s="95" t="str">
        <f t="shared" si="60"/>
        <v/>
      </c>
      <c r="Y115" s="95" t="str">
        <v/>
      </c>
      <c r="Z115" s="95" t="str">
        <f t="shared" si="42"/>
        <v/>
      </c>
      <c r="AA115" s="95" t="str">
        <f t="shared" si="51"/>
        <v/>
      </c>
      <c r="AC115" s="95" t="str">
        <f t="shared" si="52"/>
        <v/>
      </c>
      <c r="AD115" s="95" t="str">
        <f t="shared" si="53"/>
        <v/>
      </c>
      <c r="AL115" s="95" t="str">
        <f t="shared" si="54"/>
        <v/>
      </c>
      <c r="AM115" s="95" t="str">
        <f t="shared" si="55"/>
        <v/>
      </c>
      <c r="AN115" s="95" t="str">
        <f t="shared" si="56"/>
        <v/>
      </c>
      <c r="AO115" s="95" t="str">
        <f t="shared" si="57"/>
        <v/>
      </c>
      <c r="AP115" s="95" t="str">
        <f t="shared" si="58"/>
        <v/>
      </c>
    </row>
    <row r="116" spans="1:42" x14ac:dyDescent="0.3">
      <c r="A116" s="4"/>
      <c r="B116" s="4"/>
      <c r="C116" s="11" t="str">
        <f t="shared" si="43"/>
        <v/>
      </c>
      <c r="D116" s="19"/>
      <c r="E116" s="64"/>
      <c r="F116" s="64"/>
      <c r="G116" s="10" t="str">
        <f t="shared" si="44"/>
        <v/>
      </c>
      <c r="H116" s="4"/>
      <c r="I116" s="4"/>
      <c r="J116" s="170" t="str">
        <f t="shared" si="38"/>
        <v/>
      </c>
      <c r="K116" s="170" t="str">
        <f t="shared" si="45"/>
        <v/>
      </c>
      <c r="L116" s="168" t="e">
        <f t="shared" si="46"/>
        <v>#N/A</v>
      </c>
      <c r="M116" s="168" t="e">
        <f t="shared" si="47"/>
        <v>#N/A</v>
      </c>
      <c r="O116" s="98" t="str">
        <f t="shared" si="39"/>
        <v/>
      </c>
      <c r="P116" s="98" t="str">
        <f t="shared" si="48"/>
        <v/>
      </c>
      <c r="Q116" s="95" t="str">
        <f t="shared" si="59"/>
        <v/>
      </c>
      <c r="R116" s="97" t="str">
        <v/>
      </c>
      <c r="S116" s="97" t="str">
        <f t="shared" si="40"/>
        <v/>
      </c>
      <c r="T116" s="95" t="str">
        <f t="shared" si="49"/>
        <v/>
      </c>
      <c r="V116" s="98" t="str">
        <f t="shared" si="41"/>
        <v/>
      </c>
      <c r="W116" s="98" t="str">
        <f t="shared" si="50"/>
        <v/>
      </c>
      <c r="X116" s="95" t="str">
        <f t="shared" si="60"/>
        <v/>
      </c>
      <c r="Y116" s="95" t="str">
        <v/>
      </c>
      <c r="Z116" s="95" t="str">
        <f t="shared" si="42"/>
        <v/>
      </c>
      <c r="AA116" s="95" t="str">
        <f t="shared" si="51"/>
        <v/>
      </c>
      <c r="AC116" s="95" t="str">
        <f t="shared" si="52"/>
        <v/>
      </c>
      <c r="AD116" s="95" t="str">
        <f t="shared" si="53"/>
        <v/>
      </c>
      <c r="AL116" s="95" t="str">
        <f t="shared" si="54"/>
        <v/>
      </c>
      <c r="AM116" s="95" t="str">
        <f t="shared" si="55"/>
        <v/>
      </c>
      <c r="AN116" s="95" t="str">
        <f t="shared" si="56"/>
        <v/>
      </c>
      <c r="AO116" s="95" t="str">
        <f t="shared" si="57"/>
        <v/>
      </c>
      <c r="AP116" s="95" t="str">
        <f t="shared" si="58"/>
        <v/>
      </c>
    </row>
    <row r="117" spans="1:42" x14ac:dyDescent="0.3">
      <c r="A117" s="4"/>
      <c r="B117" s="4"/>
      <c r="C117" s="11" t="str">
        <f t="shared" si="43"/>
        <v/>
      </c>
      <c r="D117" s="19"/>
      <c r="E117" s="64"/>
      <c r="F117" s="64"/>
      <c r="G117" s="10" t="str">
        <f t="shared" si="44"/>
        <v/>
      </c>
      <c r="H117" s="4"/>
      <c r="I117" s="4"/>
      <c r="J117" s="170" t="str">
        <f t="shared" si="38"/>
        <v/>
      </c>
      <c r="K117" s="170" t="str">
        <f t="shared" si="45"/>
        <v/>
      </c>
      <c r="L117" s="168" t="e">
        <f t="shared" si="46"/>
        <v>#N/A</v>
      </c>
      <c r="M117" s="168" t="e">
        <f t="shared" si="47"/>
        <v>#N/A</v>
      </c>
      <c r="O117" s="98" t="str">
        <f t="shared" si="39"/>
        <v/>
      </c>
      <c r="P117" s="98" t="str">
        <f t="shared" si="48"/>
        <v/>
      </c>
      <c r="Q117" s="95" t="str">
        <f t="shared" si="59"/>
        <v/>
      </c>
      <c r="R117" s="97" t="str">
        <v/>
      </c>
      <c r="S117" s="97" t="str">
        <f t="shared" si="40"/>
        <v/>
      </c>
      <c r="T117" s="95" t="str">
        <f t="shared" si="49"/>
        <v/>
      </c>
      <c r="V117" s="98" t="str">
        <f t="shared" si="41"/>
        <v/>
      </c>
      <c r="W117" s="98" t="str">
        <f t="shared" si="50"/>
        <v/>
      </c>
      <c r="X117" s="95" t="str">
        <f t="shared" si="60"/>
        <v/>
      </c>
      <c r="Y117" s="95" t="str">
        <v/>
      </c>
      <c r="Z117" s="95" t="str">
        <f t="shared" si="42"/>
        <v/>
      </c>
      <c r="AA117" s="95" t="str">
        <f t="shared" si="51"/>
        <v/>
      </c>
      <c r="AC117" s="95" t="str">
        <f t="shared" si="52"/>
        <v/>
      </c>
      <c r="AD117" s="95" t="str">
        <f t="shared" si="53"/>
        <v/>
      </c>
      <c r="AL117" s="95" t="str">
        <f t="shared" si="54"/>
        <v/>
      </c>
      <c r="AM117" s="95" t="str">
        <f t="shared" si="55"/>
        <v/>
      </c>
      <c r="AN117" s="95" t="str">
        <f t="shared" si="56"/>
        <v/>
      </c>
      <c r="AO117" s="95" t="str">
        <f t="shared" si="57"/>
        <v/>
      </c>
      <c r="AP117" s="95" t="str">
        <f t="shared" si="58"/>
        <v/>
      </c>
    </row>
    <row r="118" spans="1:42" x14ac:dyDescent="0.3">
      <c r="A118" s="4"/>
      <c r="B118" s="4"/>
      <c r="C118" s="11" t="str">
        <f t="shared" si="43"/>
        <v/>
      </c>
      <c r="D118" s="19"/>
      <c r="E118" s="64"/>
      <c r="F118" s="64"/>
      <c r="G118" s="10" t="str">
        <f t="shared" si="44"/>
        <v/>
      </c>
      <c r="H118" s="4"/>
      <c r="I118" s="4"/>
      <c r="J118" s="170" t="str">
        <f t="shared" si="38"/>
        <v/>
      </c>
      <c r="K118" s="170" t="str">
        <f t="shared" si="45"/>
        <v/>
      </c>
      <c r="L118" s="168" t="e">
        <f t="shared" si="46"/>
        <v>#N/A</v>
      </c>
      <c r="M118" s="168" t="e">
        <f t="shared" si="47"/>
        <v>#N/A</v>
      </c>
      <c r="O118" s="98" t="str">
        <f t="shared" si="39"/>
        <v/>
      </c>
      <c r="P118" s="98" t="str">
        <f t="shared" si="48"/>
        <v/>
      </c>
      <c r="Q118" s="95" t="str">
        <f t="shared" si="59"/>
        <v/>
      </c>
      <c r="R118" s="97" t="str">
        <v/>
      </c>
      <c r="S118" s="97" t="str">
        <f t="shared" si="40"/>
        <v/>
      </c>
      <c r="T118" s="95" t="str">
        <f t="shared" si="49"/>
        <v/>
      </c>
      <c r="V118" s="98" t="str">
        <f t="shared" si="41"/>
        <v/>
      </c>
      <c r="W118" s="98" t="str">
        <f t="shared" si="50"/>
        <v/>
      </c>
      <c r="X118" s="95" t="str">
        <f t="shared" si="60"/>
        <v/>
      </c>
      <c r="Y118" s="95" t="str">
        <v/>
      </c>
      <c r="Z118" s="95" t="str">
        <f t="shared" si="42"/>
        <v/>
      </c>
      <c r="AA118" s="95" t="str">
        <f t="shared" si="51"/>
        <v/>
      </c>
      <c r="AC118" s="95" t="str">
        <f t="shared" si="52"/>
        <v/>
      </c>
      <c r="AD118" s="95" t="str">
        <f t="shared" si="53"/>
        <v/>
      </c>
      <c r="AL118" s="95" t="str">
        <f t="shared" si="54"/>
        <v/>
      </c>
      <c r="AM118" s="95" t="str">
        <f t="shared" si="55"/>
        <v/>
      </c>
      <c r="AN118" s="95" t="str">
        <f t="shared" si="56"/>
        <v/>
      </c>
      <c r="AO118" s="95" t="str">
        <f t="shared" si="57"/>
        <v/>
      </c>
      <c r="AP118" s="95" t="str">
        <f t="shared" si="58"/>
        <v/>
      </c>
    </row>
    <row r="119" spans="1:42" x14ac:dyDescent="0.3">
      <c r="A119" s="4"/>
      <c r="B119" s="4"/>
      <c r="C119" s="11" t="str">
        <f t="shared" si="43"/>
        <v/>
      </c>
      <c r="D119" s="19"/>
      <c r="E119" s="64"/>
      <c r="F119" s="64"/>
      <c r="G119" s="10" t="str">
        <f t="shared" si="44"/>
        <v/>
      </c>
      <c r="H119" s="4"/>
      <c r="I119" s="4"/>
      <c r="J119" s="170" t="str">
        <f t="shared" si="38"/>
        <v/>
      </c>
      <c r="K119" s="170" t="str">
        <f t="shared" si="45"/>
        <v/>
      </c>
      <c r="L119" s="168" t="e">
        <f t="shared" si="46"/>
        <v>#N/A</v>
      </c>
      <c r="M119" s="168" t="e">
        <f t="shared" si="47"/>
        <v>#N/A</v>
      </c>
      <c r="O119" s="98" t="str">
        <f t="shared" si="39"/>
        <v/>
      </c>
      <c r="P119" s="98" t="str">
        <f t="shared" si="48"/>
        <v/>
      </c>
      <c r="Q119" s="95" t="str">
        <f t="shared" si="59"/>
        <v/>
      </c>
      <c r="R119" s="97" t="str">
        <v/>
      </c>
      <c r="S119" s="97" t="str">
        <f t="shared" si="40"/>
        <v/>
      </c>
      <c r="T119" s="95" t="str">
        <f t="shared" si="49"/>
        <v/>
      </c>
      <c r="V119" s="98" t="str">
        <f t="shared" si="41"/>
        <v/>
      </c>
      <c r="W119" s="98" t="str">
        <f t="shared" si="50"/>
        <v/>
      </c>
      <c r="X119" s="95" t="str">
        <f t="shared" si="60"/>
        <v/>
      </c>
      <c r="Y119" s="95" t="str">
        <v/>
      </c>
      <c r="Z119" s="95" t="str">
        <f t="shared" si="42"/>
        <v/>
      </c>
      <c r="AA119" s="95" t="str">
        <f t="shared" si="51"/>
        <v/>
      </c>
      <c r="AC119" s="95" t="str">
        <f t="shared" si="52"/>
        <v/>
      </c>
      <c r="AD119" s="95" t="str">
        <f t="shared" si="53"/>
        <v/>
      </c>
      <c r="AL119" s="95" t="str">
        <f t="shared" si="54"/>
        <v/>
      </c>
      <c r="AM119" s="95" t="str">
        <f t="shared" si="55"/>
        <v/>
      </c>
      <c r="AN119" s="95" t="str">
        <f t="shared" si="56"/>
        <v/>
      </c>
      <c r="AO119" s="95" t="str">
        <f t="shared" si="57"/>
        <v/>
      </c>
      <c r="AP119" s="95" t="str">
        <f t="shared" si="58"/>
        <v/>
      </c>
    </row>
    <row r="120" spans="1:42" hidden="1" x14ac:dyDescent="0.3">
      <c r="B120" s="11" t="e">
        <f>IF(H120&lt;&gt;"",IF(ISTEXT(C119),1,C119+1),"")</f>
        <v>#REF!</v>
      </c>
      <c r="C120" s="19"/>
      <c r="D120" s="19"/>
      <c r="E120" s="17"/>
      <c r="F120" s="17"/>
      <c r="G120" s="19"/>
      <c r="H120" s="10" t="e" cm="1">
        <f t="array" ref="H120">_xlfn.IFS(AND($E$12="Concentration",E120&lt;&gt;"",G120&lt;&gt;"",C120&lt;&gt;""),"X",AND(OR($E$12="Flow",$E$12="Volume"),D120&lt;&gt;"",F120&lt;&gt;"",C120&lt;&gt;""),"X",AND($E$12="Depth",#REF!&lt;&gt;"",#REF!&lt;&gt;"",D120&lt;&gt;"",F120&lt;&gt;"",C120&lt;&gt;""),"X",AND($E$12="Load",D120&lt;="",E120&lt;&gt;"",F120&lt;&gt;"",G120&lt;&gt;"",C120&lt;&gt;""),"X",AND($E$12="Yield",D120&lt;="",E120&lt;&gt;"",F120&lt;&gt;"",G120&lt;&gt;"",#REF!&lt;&gt;"",#REF!&lt;&gt;"",C120&lt;&gt;""),"X",C120="","",1&gt;0,"")</f>
        <v>#REF!</v>
      </c>
      <c r="O120" s="98" t="str">
        <f t="shared" si="39"/>
        <v/>
      </c>
      <c r="P120" s="98" t="str">
        <f t="shared" si="48"/>
        <v/>
      </c>
      <c r="R120" s="97"/>
      <c r="S120" s="97"/>
      <c r="T120" s="98"/>
      <c r="U120" s="97"/>
      <c r="V120" s="98" t="str">
        <f t="shared" si="41"/>
        <v/>
      </c>
      <c r="W120" s="97"/>
      <c r="X120" s="95" t="str">
        <f t="shared" si="60"/>
        <v/>
      </c>
      <c r="Y120" s="97"/>
      <c r="Z120" s="95" t="str">
        <f t="shared" si="42"/>
        <v/>
      </c>
      <c r="AA120" s="95" t="str">
        <f t="shared" si="51"/>
        <v/>
      </c>
    </row>
  </sheetData>
  <sheetProtection algorithmName="SHA-512" hashValue="i/MwdXYE/5i3MSPYv2tai+O2J2hId46J/jTAo4DDAQbfi3v+xVVScJPgj26/0hKN+nRmR6q9iKcWzR6LzKlwEw==" saltValue="ojoXZE4Q9Pcw5oT5/Op0Ow==" spinCount="100000" sheet="1" selectLockedCells="1"/>
  <mergeCells count="1">
    <mergeCell ref="C14:G17"/>
  </mergeCells>
  <conditionalFormatting sqref="E120:F120 D35:F39">
    <cfRule type="containsBlanks" dxfId="15" priority="62">
      <formula>LEN(TRIM(D35))=0</formula>
    </cfRule>
    <cfRule type="notContainsBlanks" dxfId="14" priority="65">
      <formula>LEN(TRIM(D35))&gt;0</formula>
    </cfRule>
  </conditionalFormatting>
  <conditionalFormatting sqref="P15">
    <cfRule type="expression" dxfId="13" priority="12">
      <formula>$P$15</formula>
    </cfRule>
  </conditionalFormatting>
  <conditionalFormatting sqref="F40:F119 D40:D119">
    <cfRule type="expression" dxfId="12" priority="105">
      <formula>AND(COUNT(E40:F40)&gt;0, NOT(ISBLANK(D40)))</formula>
    </cfRule>
    <cfRule type="expression" dxfId="11" priority="106">
      <formula>AND(COUNT(E40:F40)&gt;0, ISBLANK(D40))</formula>
    </cfRule>
    <cfRule type="expression" dxfId="10" priority="107">
      <formula>ISBLANK(D40)</formula>
    </cfRule>
  </conditionalFormatting>
  <conditionalFormatting sqref="D6 D8 D10 D12 F6 C14 F12 F10 F8 C14">
    <cfRule type="expression" dxfId="9" priority="7">
      <formula>NOT(ISBLANK(C6))</formula>
    </cfRule>
  </conditionalFormatting>
  <conditionalFormatting sqref="D6 D8 D10 D12 F6 C14 F12 F10 F8">
    <cfRule type="expression" dxfId="8" priority="6">
      <formula>ISBLANK(C6)</formula>
    </cfRule>
  </conditionalFormatting>
  <conditionalFormatting sqref="E40:E119">
    <cfRule type="expression" dxfId="7" priority="120">
      <formula>AND(COUNT(F40:G40)&gt;0, NOT(ISBLANK(E40)))</formula>
    </cfRule>
    <cfRule type="expression" dxfId="6" priority="121">
      <formula>AND(COUNT(F40:G40)&gt;0, ISBLANK(E40))</formula>
    </cfRule>
    <cfRule type="expression" dxfId="5" priority="122">
      <formula>ISBLANK(E40)</formula>
    </cfRule>
  </conditionalFormatting>
  <dataValidations xWindow="925" yWindow="244" count="11">
    <dataValidation showInputMessage="1" showErrorMessage="1" sqref="H18 E18:F18" xr:uid="{10A936B4-7723-42A6-8AB4-BA10FAB57744}"/>
    <dataValidation type="date" operator="greaterThan" allowBlank="1" showInputMessage="1" showErrorMessage="1" sqref="C120:D120" xr:uid="{1BDDFC0C-DFBA-473A-914F-A44F016E6D01}">
      <formula1>32874</formula1>
    </dataValidation>
    <dataValidation type="textLength" operator="greaterThan" allowBlank="1" showInputMessage="1" showErrorMessage="1" promptTitle="Parameter Label" prompt="Enter a descriptive parameter label e.g. &quot;Total P (mg/L)&quot; to be used for plots and printout." sqref="D12" xr:uid="{1F1295CC-1980-42E3-A090-A34A204E4D64}">
      <formula1>1</formula1>
    </dataValidation>
    <dataValidation type="decimal" allowBlank="1" showInputMessage="1" showErrorMessage="1" promptTitle="Treatment Observation" prompt="Enter the value for the observation at the treatment station for this date" sqref="F35:F119" xr:uid="{F9C8A31F-8E9B-406E-BF85-423897414FC7}">
      <formula1>0</formula1>
      <formula2>10000</formula2>
    </dataValidation>
    <dataValidation type="textLength" operator="greaterThanOrEqual" showInputMessage="1" showErrorMessage="1" promptTitle="User Initials" prompt="Enter your intials e.g. ABC" sqref="F6" xr:uid="{FD707D4C-0932-4A96-A1AD-4532EA4F3EB4}">
      <formula1>3</formula1>
    </dataValidation>
    <dataValidation type="textLength" operator="greaterThanOrEqual" allowBlank="1" showInputMessage="1" showErrorMessage="1" promptTitle="Monitoring Activity ID" prompt="NRCS assigned activity ID e.g. AL00101. If you don't have an ID please contact SM.NRCS.WQMT@usda.gov to obtain one." sqref="D6" xr:uid="{7FE14FC0-6F91-4FC6-9B57-0E2369F3D88E}">
      <formula1>7</formula1>
    </dataValidation>
    <dataValidation allowBlank="1" showInputMessage="1" showErrorMessage="1" promptTitle="Control Station ID" prompt="NRCS assigned control station ID: e.g. AL00101. If you don't have an ID please contact SM.NRCS.WQMT@usda.gov to obtain one." sqref="D8" xr:uid="{CD23020C-A2FC-4AE6-BA32-20F7DE84A91A}"/>
    <dataValidation allowBlank="1" showInputMessage="1" showErrorMessage="1" promptTitle="Treatment Station ID" prompt="NRCS assigned treatment station ID: e.g. AL00102. If you don't have an ID please contact SM.NRCS.WQMT@usda.gov to obtain one." sqref="D10" xr:uid="{19AFC496-A325-464E-95DB-C1D5758F1CCE}"/>
    <dataValidation allowBlank="1" showInputMessage="1" showErrorMessage="1" promptTitle="Treatment Description" prompt="Enter a description of the aspects of the conservation practice are being tested. Provide quantitative descriptions where possible." sqref="C14:G17" xr:uid="{B1D5F4DF-FA42-4A49-840C-A8ED736ED267}"/>
    <dataValidation type="date" operator="greaterThan" allowBlank="1" showInputMessage="1" showErrorMessage="1" promptTitle="Date" prompt="Enter date for corresponding samples e.g. 1/10/2029" sqref="D35:D119" xr:uid="{5FF9D408-E983-4B14-9185-83046F2FDED7}">
      <formula1>32874</formula1>
    </dataValidation>
    <dataValidation type="decimal" allowBlank="1" showInputMessage="1" showErrorMessage="1" promptTitle="Control Observation" prompt="Enter the value for the observation at the control station for this date" sqref="E35:E119" xr:uid="{B7909472-1534-4918-8EFB-EBF19C429F9B}">
      <formula1>0</formula1>
      <formula2>10000</formula2>
    </dataValidation>
  </dataValidations>
  <pageMargins left="0.7" right="0.7" top="0.75" bottom="0.75" header="0.3" footer="0.3"/>
  <pageSetup scale="60" fitToHeight="0" orientation="portrait" horizontalDpi="1200" verticalDpi="1200" r:id="rId1"/>
  <drawing r:id="rId2"/>
  <extLst>
    <ext xmlns:x14="http://schemas.microsoft.com/office/spreadsheetml/2009/9/main" uri="{CCE6A557-97BC-4b89-ADB6-D9C93CAAB3DF}">
      <x14:dataValidations xmlns:xm="http://schemas.microsoft.com/office/excel/2006/main" xWindow="925" yWindow="244" count="3">
        <x14:dataValidation type="list" operator="greaterThan" showInputMessage="1" showErrorMessage="1" promptTitle="Monitoring Design" prompt="Select a monitoring design associated with this activity" xr:uid="{CF89B3E6-392C-4C4A-98ED-E210631938C7}">
          <x14:formula1>
            <xm:f>lookup!$K$11:$K$12</xm:f>
          </x14:formula1>
          <xm:sqref>F8</xm:sqref>
        </x14:dataValidation>
        <x14:dataValidation type="list" showInputMessage="1" showErrorMessage="1" promptTitle="Significance Level" prompt="Select the desired level of statistical significance to evaluate the date at." xr:uid="{3216C529-5787-48DA-8B1C-DC6E2B1B82C8}">
          <x14:formula1>
            <xm:f>lookup!$I$11:$I$13</xm:f>
          </x14:formula1>
          <xm:sqref>F12</xm:sqref>
        </x14:dataValidation>
        <x14:dataValidation type="list" showInputMessage="1" showErrorMessage="1" promptTitle="CPS Code" prompt="Select the numerical code for the conservation practice being evaluated with this activity" xr:uid="{5E9526D4-78D5-4400-8F54-EC3A53DC90A5}">
          <x14:formula1>
            <xm:f>lookup!$A$11:$A$190</xm:f>
          </x14:formula1>
          <xm:sqref>F10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5A8CA-720D-46FC-8966-9E76C883A022}">
  <sheetPr codeName="Sheet4"/>
  <dimension ref="A1:H89"/>
  <sheetViews>
    <sheetView view="pageBreakPreview" topLeftCell="A12" zoomScale="130" zoomScaleNormal="130" zoomScaleSheetLayoutView="130" workbookViewId="0">
      <selection activeCell="K17" sqref="K17"/>
    </sheetView>
  </sheetViews>
  <sheetFormatPr defaultRowHeight="14.4" x14ac:dyDescent="0.3"/>
  <cols>
    <col min="1" max="1" width="28" customWidth="1"/>
    <col min="2" max="5" width="15.6640625" customWidth="1"/>
    <col min="7" max="8" width="0" hidden="1" customWidth="1"/>
  </cols>
  <sheetData>
    <row r="1" spans="1:6" ht="18" x14ac:dyDescent="0.35">
      <c r="A1" s="88" t="s">
        <v>77</v>
      </c>
      <c r="B1" s="38"/>
      <c r="C1" s="38"/>
      <c r="D1" s="38"/>
      <c r="E1" s="38"/>
      <c r="F1" s="38"/>
    </row>
    <row r="2" spans="1:6" ht="18.600000000000001" thickBot="1" x14ac:dyDescent="0.4">
      <c r="A2" s="89" t="str">
        <f>"for Effect of Conservation Practice v. "&amp; dev!B2</f>
        <v>for Effect of Conservation Practice v. 1</v>
      </c>
      <c r="B2" s="39"/>
      <c r="C2" s="39"/>
      <c r="D2" s="39"/>
      <c r="E2" s="39"/>
      <c r="F2" s="39"/>
    </row>
    <row r="3" spans="1:6" x14ac:dyDescent="0.3">
      <c r="A3" s="1" t="s">
        <v>78</v>
      </c>
      <c r="B3" s="33">
        <f ca="1">TODAY()</f>
        <v>45582</v>
      </c>
    </row>
    <row r="4" spans="1:6" ht="18.600000000000001" thickBot="1" x14ac:dyDescent="0.4">
      <c r="A4" s="34" t="s">
        <v>79</v>
      </c>
      <c r="B4" s="35"/>
      <c r="C4" s="35"/>
      <c r="D4" s="35"/>
      <c r="E4" s="35"/>
      <c r="F4" s="35"/>
    </row>
    <row r="5" spans="1:6" ht="6.6" customHeight="1" x14ac:dyDescent="0.3"/>
    <row r="6" spans="1:6" s="80" customFormat="1" ht="15.9" customHeight="1" x14ac:dyDescent="0.3">
      <c r="A6" s="87" t="s">
        <v>427</v>
      </c>
      <c r="B6" s="80">
        <f>tool!D6</f>
        <v>0</v>
      </c>
    </row>
    <row r="7" spans="1:6" s="80" customFormat="1" ht="15.9" customHeight="1" x14ac:dyDescent="0.3">
      <c r="A7" s="87" t="s">
        <v>80</v>
      </c>
      <c r="B7" s="80" t="str">
        <f>IF(tool!F6="", "",tool!F6)</f>
        <v/>
      </c>
    </row>
    <row r="8" spans="1:6" s="80" customFormat="1" ht="15.9" customHeight="1" x14ac:dyDescent="0.3">
      <c r="A8" s="87" t="s">
        <v>81</v>
      </c>
      <c r="B8" s="80">
        <f>tool!F8</f>
        <v>0</v>
      </c>
    </row>
    <row r="9" spans="1:6" s="80" customFormat="1" ht="15.9" customHeight="1" x14ac:dyDescent="0.3">
      <c r="A9" s="87" t="s">
        <v>82</v>
      </c>
      <c r="B9" s="80">
        <f>tool!D8</f>
        <v>0</v>
      </c>
    </row>
    <row r="10" spans="1:6" s="80" customFormat="1" ht="15.9" customHeight="1" x14ac:dyDescent="0.3">
      <c r="A10" s="87" t="s">
        <v>83</v>
      </c>
      <c r="B10" s="80">
        <f>tool!D10</f>
        <v>0</v>
      </c>
    </row>
    <row r="11" spans="1:6" s="80" customFormat="1" ht="15.9" customHeight="1" x14ac:dyDescent="0.3">
      <c r="A11" s="87" t="s">
        <v>84</v>
      </c>
      <c r="B11" s="80" t="str" cm="1">
        <f t="array" ref="B11">IF(tool!F10="","",tool!F10&amp;"-"&amp;_xlfn._xlws.FILTER(practice_tab[cps_name],practice_tab[cps_code]=tool!F10))</f>
        <v/>
      </c>
    </row>
    <row r="12" spans="1:6" s="80" customFormat="1" ht="15.9" customHeight="1" x14ac:dyDescent="0.3">
      <c r="A12" s="87" t="s">
        <v>428</v>
      </c>
      <c r="B12" s="80">
        <f>tool!D12</f>
        <v>0</v>
      </c>
    </row>
    <row r="13" spans="1:6" ht="15" customHeight="1" x14ac:dyDescent="0.3">
      <c r="A13" s="87" t="s">
        <v>85</v>
      </c>
      <c r="B13" s="182">
        <f>tool!C14</f>
        <v>0</v>
      </c>
      <c r="C13" s="182"/>
      <c r="D13" s="182"/>
      <c r="E13" s="182"/>
    </row>
    <row r="14" spans="1:6" ht="15" customHeight="1" x14ac:dyDescent="0.3">
      <c r="A14" s="80"/>
      <c r="B14" s="182"/>
      <c r="C14" s="182"/>
      <c r="D14" s="182"/>
      <c r="E14" s="182"/>
    </row>
    <row r="15" spans="1:6" ht="15" customHeight="1" x14ac:dyDescent="0.3">
      <c r="A15" s="80"/>
      <c r="B15" s="182"/>
      <c r="C15" s="182"/>
      <c r="D15" s="182"/>
      <c r="E15" s="182"/>
    </row>
    <row r="16" spans="1:6" ht="18.600000000000001" thickBot="1" x14ac:dyDescent="0.4">
      <c r="A16" s="34" t="s">
        <v>86</v>
      </c>
      <c r="B16" s="35"/>
      <c r="C16" s="35"/>
      <c r="D16" s="35"/>
      <c r="E16" s="35"/>
      <c r="F16" s="35"/>
    </row>
    <row r="17" spans="1:6" ht="15.6" x14ac:dyDescent="0.3">
      <c r="A17" s="36" t="s">
        <v>87</v>
      </c>
      <c r="B17" s="2"/>
      <c r="C17" s="2"/>
      <c r="D17" s="2"/>
      <c r="E17" s="2"/>
      <c r="F17" s="2"/>
    </row>
    <row r="18" spans="1:6" x14ac:dyDescent="0.3">
      <c r="B18" s="3" t="s">
        <v>13</v>
      </c>
      <c r="C18" s="3" t="s">
        <v>14</v>
      </c>
      <c r="D18" s="3" t="s">
        <v>15</v>
      </c>
      <c r="E18" s="3" t="s">
        <v>16</v>
      </c>
      <c r="F18" s="42"/>
    </row>
    <row r="19" spans="1:6" x14ac:dyDescent="0.3">
      <c r="A19" s="37" t="s">
        <v>23</v>
      </c>
      <c r="B19" s="43" t="e">
        <f>ROUND(tool!C22, 3)</f>
        <v>#VALUE!</v>
      </c>
      <c r="C19" s="43" t="e">
        <f>ROUND(tool!D22, 3)</f>
        <v>#VALUE!</v>
      </c>
      <c r="D19" s="43" t="e">
        <f>ROUND(tool!E22, 3)</f>
        <v>#VALUE!</v>
      </c>
      <c r="E19" s="43" t="e">
        <f>ROUND(tool!F22, 3)</f>
        <v>#VALUE!</v>
      </c>
      <c r="F19" s="62"/>
    </row>
    <row r="20" spans="1:6" x14ac:dyDescent="0.3">
      <c r="A20" s="37" t="s">
        <v>24</v>
      </c>
      <c r="B20" s="43" t="e">
        <f>ROUND(tool!C23, 3)</f>
        <v>#VALUE!</v>
      </c>
      <c r="C20" s="43" t="e">
        <f>ROUND(tool!D23, 3)</f>
        <v>#VALUE!</v>
      </c>
      <c r="D20" s="43" t="e">
        <f>ROUND(tool!E23, 3)</f>
        <v>#VALUE!</v>
      </c>
      <c r="E20" s="43" t="e">
        <f>ROUND(tool!F23, 3)</f>
        <v>#VALUE!</v>
      </c>
      <c r="F20" s="62"/>
    </row>
    <row r="21" spans="1:6" ht="6.6" customHeight="1" x14ac:dyDescent="0.3"/>
    <row r="22" spans="1:6" ht="14.4" customHeight="1" x14ac:dyDescent="0.3">
      <c r="A22" s="37" t="s">
        <v>88</v>
      </c>
      <c r="B22" s="21">
        <f>cnt</f>
        <v>0</v>
      </c>
    </row>
    <row r="23" spans="1:6" ht="6.6" customHeight="1" x14ac:dyDescent="0.3">
      <c r="A23" s="37"/>
    </row>
    <row r="24" spans="1:6" ht="15.6" x14ac:dyDescent="0.3">
      <c r="A24" s="36" t="s">
        <v>89</v>
      </c>
      <c r="B24" s="2"/>
      <c r="C24" s="2"/>
      <c r="D24" s="2"/>
      <c r="E24" s="2"/>
      <c r="F24" s="2"/>
    </row>
    <row r="25" spans="1:6" ht="6.6" customHeight="1" x14ac:dyDescent="0.3">
      <c r="A25" s="41"/>
    </row>
    <row r="26" spans="1:6" ht="15" customHeight="1" x14ac:dyDescent="0.3">
      <c r="A26" s="1" t="s">
        <v>90</v>
      </c>
      <c r="B26" s="82">
        <f>tool!F12</f>
        <v>0</v>
      </c>
      <c r="C26" t="str" cm="1">
        <f t="array" ref="C26">_xlfn.IFS(tool!F12="", "", B26=INDEX(alpha_tab[Alphas],1),"99% Confidence Level",B26=INDEX(alpha_tab[Alphas],2),"95% Confidence Level",B26=INDEX(alpha_tab[Alphas],3),"90% Confidence Level")</f>
        <v/>
      </c>
    </row>
    <row r="27" spans="1:6" ht="30" customHeight="1" x14ac:dyDescent="0.3">
      <c r="A27" s="86" t="s">
        <v>91</v>
      </c>
    </row>
    <row r="28" spans="1:6" ht="15" customHeight="1" x14ac:dyDescent="0.3">
      <c r="A28" s="1" t="s">
        <v>92</v>
      </c>
      <c r="B28" t="str">
        <f>tool!C26</f>
        <v/>
      </c>
    </row>
    <row r="29" spans="1:6" s="61" customFormat="1" ht="30" customHeight="1" x14ac:dyDescent="0.3">
      <c r="A29" s="183" t="s">
        <v>93</v>
      </c>
      <c r="B29" s="183"/>
      <c r="C29" s="183"/>
      <c r="D29" s="183"/>
      <c r="E29" s="183"/>
      <c r="F29" s="183"/>
    </row>
    <row r="30" spans="1:6" ht="15" customHeight="1" x14ac:dyDescent="0.3">
      <c r="A30" s="1" t="s">
        <v>94</v>
      </c>
      <c r="B30" t="str">
        <f>IF(tool!C26="NORMAL", tool!B28, tool!B29)</f>
        <v>Non-Parametric</v>
      </c>
    </row>
    <row r="31" spans="1:6" ht="30" customHeight="1" x14ac:dyDescent="0.3">
      <c r="A31" s="183" t="str" cm="1">
        <f t="array" ref="A31">_xlfn.IFS(B30=tool!B28, "The T-Test is used to compare the means between two groups that have a normal distribution.", report!B30=tool!B29, "The "&amp;report!B30&amp;" test is used to compare the medians between two groups that do not have a normal distribution.")</f>
        <v>The Non-Parametric test is used to compare the medians between two groups that do not have a normal distribution.</v>
      </c>
      <c r="B31" s="183"/>
      <c r="C31" s="183"/>
      <c r="D31" s="183"/>
      <c r="E31" s="183"/>
      <c r="F31" s="183"/>
    </row>
    <row r="32" spans="1:6" ht="15" customHeight="1" x14ac:dyDescent="0.3">
      <c r="A32" s="1" t="s">
        <v>95</v>
      </c>
      <c r="B32" t="str">
        <f>IF(tool!C26="NORMAL", tool!C28, tool!C29)</f>
        <v/>
      </c>
    </row>
    <row r="33" spans="1:6" ht="30" customHeight="1" x14ac:dyDescent="0.3">
      <c r="A33" s="183" t="s">
        <v>96</v>
      </c>
      <c r="B33" s="183"/>
      <c r="C33" s="183"/>
      <c r="D33" s="183"/>
      <c r="E33" s="183"/>
      <c r="F33" s="183"/>
    </row>
    <row r="34" spans="1:6" ht="15" customHeight="1" x14ac:dyDescent="0.3">
      <c r="A34" s="1" t="s">
        <v>97</v>
      </c>
      <c r="B34" s="83" t="e" cm="1">
        <f t="array" ref="B34">_xlfn.IFS(B30="T-Test", ROUND(tool!AJ20, 3), report!B30="Wilcoxon Signed-Rank", ROUND(tool!AP21, 3), report!B30="Mann-Whitney U", ROUND(tool!AD26, 3))</f>
        <v>#N/A</v>
      </c>
      <c r="C34" s="83"/>
      <c r="D34" s="83"/>
      <c r="E34" s="83"/>
      <c r="F34" s="83"/>
    </row>
    <row r="35" spans="1:6" ht="30" customHeight="1" x14ac:dyDescent="0.3">
      <c r="A35" s="183" t="s">
        <v>98</v>
      </c>
      <c r="B35" s="183"/>
      <c r="C35" s="183"/>
      <c r="D35" s="183"/>
      <c r="E35" s="183"/>
      <c r="F35" s="183"/>
    </row>
    <row r="36" spans="1:6" ht="15" customHeight="1" x14ac:dyDescent="0.3">
      <c r="A36" s="1" t="s">
        <v>99</v>
      </c>
      <c r="B36" s="82" t="e">
        <f>ROUND(tool!C30, 3)</f>
        <v>#VALUE!</v>
      </c>
    </row>
    <row r="37" spans="1:6" ht="30" customHeight="1" x14ac:dyDescent="0.3">
      <c r="A37" s="182" t="s">
        <v>100</v>
      </c>
      <c r="B37" s="182"/>
      <c r="C37" s="182"/>
      <c r="D37" s="182"/>
      <c r="E37" s="182"/>
      <c r="F37" s="182"/>
    </row>
    <row r="38" spans="1:6" ht="15.6" x14ac:dyDescent="0.3">
      <c r="A38" s="36" t="s">
        <v>101</v>
      </c>
      <c r="B38" s="2"/>
      <c r="C38" s="2"/>
      <c r="D38" s="2"/>
      <c r="E38" s="2"/>
      <c r="F38" s="2"/>
    </row>
    <row r="39" spans="1:6" ht="60" customHeight="1" thickBot="1" x14ac:dyDescent="0.35">
      <c r="A39" s="184" t="e" cm="1">
        <f t="array" ref="A39">"The analysis assessed the impact of "&amp;B11&amp;" on "&amp;B12&amp;". The data were "&amp;IF(B28="NORMAL","normally","not normally")&amp;" distributed and the "&amp;IF(B30="T-Test",B30,B30&amp;" test")&amp;" was performed. The results indicate that "&amp;IF(B32="NOT SIGNIFICANT","practice "&amp;B11&amp;" had no significant effect on "&amp;report!B12&amp;" with a p-value of "&amp;B34&amp;".","practice "&amp;report!B11&amp;" "&amp;_xlfn.IFS(AND(report!B30="T-Test",report!B19&gt;report!B20),"reduced",AND(report!B30="T-Test",report!B19&lt;report!B20),"increased",AND(OR(report!B30="Mann-Whitney U",report!B30="Wilcoxon Signed-Rank"),report!D19&gt;report!D20),"reduced",AND(OR(report!B30="Mann-Whitney U",report!B30="Wilcoxon Signed-Rank"),report!D19&lt;report!D20),"increased")&amp;" "&amp;report!B12&amp;" at a "&amp;C26&amp;" with a p-value of "&amp;B34&amp;".")</f>
        <v>#VALUE!</v>
      </c>
      <c r="B39" s="184"/>
      <c r="C39" s="184"/>
      <c r="D39" s="184"/>
      <c r="E39" s="184"/>
      <c r="F39" s="184"/>
    </row>
    <row r="40" spans="1:6" ht="18" x14ac:dyDescent="0.35">
      <c r="A40" s="88" t="s">
        <v>77</v>
      </c>
      <c r="B40" s="38"/>
      <c r="C40" s="38"/>
      <c r="D40" s="38"/>
      <c r="E40" s="38"/>
      <c r="F40" s="38"/>
    </row>
    <row r="41" spans="1:6" ht="18.600000000000001" thickBot="1" x14ac:dyDescent="0.4">
      <c r="A41" s="89" t="str">
        <f>"for Effect of Conservation Practice v. "&amp; dev!B2</f>
        <v>for Effect of Conservation Practice v. 1</v>
      </c>
      <c r="B41" s="39"/>
      <c r="C41" s="39"/>
      <c r="D41" s="39"/>
      <c r="E41" s="39"/>
      <c r="F41" s="39"/>
    </row>
    <row r="42" spans="1:6" x14ac:dyDescent="0.3">
      <c r="A42" s="1" t="s">
        <v>78</v>
      </c>
      <c r="B42" s="33">
        <f ca="1">TODAY()</f>
        <v>45582</v>
      </c>
    </row>
    <row r="43" spans="1:6" ht="6.6" customHeight="1" x14ac:dyDescent="0.3"/>
    <row r="44" spans="1:6" ht="18.600000000000001" thickBot="1" x14ac:dyDescent="0.4">
      <c r="A44" s="34" t="s">
        <v>79</v>
      </c>
      <c r="B44" s="35"/>
      <c r="C44" s="35"/>
      <c r="D44" s="35"/>
      <c r="E44" s="35"/>
      <c r="F44" s="35"/>
    </row>
    <row r="45" spans="1:6" ht="6.6" customHeight="1" x14ac:dyDescent="0.3"/>
    <row r="46" spans="1:6" x14ac:dyDescent="0.3">
      <c r="A46" s="87" t="s">
        <v>427</v>
      </c>
      <c r="B46" s="80">
        <f>tool!D6</f>
        <v>0</v>
      </c>
    </row>
    <row r="47" spans="1:6" x14ac:dyDescent="0.3">
      <c r="A47" s="87" t="s">
        <v>80</v>
      </c>
      <c r="B47" s="80">
        <f>tool!F6</f>
        <v>0</v>
      </c>
    </row>
    <row r="48" spans="1:6" x14ac:dyDescent="0.3">
      <c r="A48" s="87" t="s">
        <v>81</v>
      </c>
      <c r="B48" s="80">
        <f>tool!F8</f>
        <v>0</v>
      </c>
    </row>
    <row r="49" spans="1:8" x14ac:dyDescent="0.3">
      <c r="A49" s="87" t="s">
        <v>82</v>
      </c>
      <c r="B49" s="80">
        <f>tool!D8</f>
        <v>0</v>
      </c>
    </row>
    <row r="50" spans="1:8" x14ac:dyDescent="0.3">
      <c r="A50" s="87" t="s">
        <v>83</v>
      </c>
      <c r="B50" s="80">
        <f>tool!D10</f>
        <v>0</v>
      </c>
    </row>
    <row r="51" spans="1:8" x14ac:dyDescent="0.3">
      <c r="A51" s="87" t="s">
        <v>84</v>
      </c>
      <c r="B51" s="80" t="str" cm="1">
        <f t="array" ref="B51">IF(tool!F10="","",tool!F10&amp;"-"&amp;_xlfn._xlws.FILTER(practice_tab[cps_name],practice_tab[cps_code]=tool!F10))</f>
        <v/>
      </c>
    </row>
    <row r="52" spans="1:8" x14ac:dyDescent="0.3">
      <c r="A52" s="87" t="s">
        <v>428</v>
      </c>
      <c r="B52" s="80">
        <f>tool!D12</f>
        <v>0</v>
      </c>
    </row>
    <row r="53" spans="1:8" ht="6.6" customHeight="1" x14ac:dyDescent="0.3"/>
    <row r="54" spans="1:8" ht="18.600000000000001" thickBot="1" x14ac:dyDescent="0.4">
      <c r="A54" s="34" t="s">
        <v>102</v>
      </c>
      <c r="B54" s="35"/>
      <c r="C54" s="35"/>
      <c r="D54" s="35"/>
      <c r="E54" s="35"/>
      <c r="F54" s="35"/>
      <c r="G54" s="35"/>
      <c r="H54" s="35"/>
    </row>
    <row r="55" spans="1:8" ht="18" x14ac:dyDescent="0.35">
      <c r="A55" s="81"/>
    </row>
    <row r="69" spans="1:6" ht="3" customHeight="1" x14ac:dyDescent="0.3"/>
    <row r="70" spans="1:6" s="80" customFormat="1" ht="37.5" customHeight="1" x14ac:dyDescent="0.3">
      <c r="A70" s="183" t="str">
        <f>"Figure 1: Mean (x), median (bisection), minimum (bottom whisker) and maximum (top whisker) of "&amp;B52&amp;" values at the control and treatment sites."</f>
        <v>Figure 1: Mean (x), median (bisection), minimum (bottom whisker) and maximum (top whisker) of 0 values at the control and treatment sites.</v>
      </c>
      <c r="B70" s="183"/>
      <c r="C70" s="183"/>
      <c r="D70" s="183"/>
      <c r="E70" s="183"/>
      <c r="F70" s="84"/>
    </row>
    <row r="71" spans="1:6" ht="23.25" customHeight="1" x14ac:dyDescent="0.3">
      <c r="A71" s="85"/>
      <c r="B71" s="85"/>
      <c r="C71" s="85"/>
      <c r="D71" s="85"/>
      <c r="E71" s="85"/>
      <c r="F71" s="85"/>
    </row>
    <row r="72" spans="1:6" ht="30" customHeight="1" x14ac:dyDescent="0.3"/>
    <row r="82" spans="1:6" ht="21.6" customHeight="1" x14ac:dyDescent="0.3"/>
    <row r="83" spans="1:6" ht="17.25" customHeight="1" x14ac:dyDescent="0.3">
      <c r="A83" s="183" t="str">
        <f>"Figure 2: Trend of "&amp;B12&amp;" over time at the control and treatment sites."</f>
        <v>Figure 2: Trend of 0 over time at the control and treatment sites.</v>
      </c>
      <c r="B83" s="183"/>
      <c r="C83" s="183"/>
      <c r="D83" s="183"/>
      <c r="E83" s="183"/>
    </row>
    <row r="85" spans="1:6" ht="24" customHeight="1" x14ac:dyDescent="0.3"/>
    <row r="89" spans="1:6" ht="15" customHeight="1" x14ac:dyDescent="0.3">
      <c r="F89" s="61"/>
    </row>
  </sheetData>
  <sheetProtection selectLockedCells="1" selectUnlockedCells="1"/>
  <mergeCells count="9">
    <mergeCell ref="B13:E15"/>
    <mergeCell ref="A70:E70"/>
    <mergeCell ref="A83:E83"/>
    <mergeCell ref="A31:F31"/>
    <mergeCell ref="A37:F37"/>
    <mergeCell ref="A35:F35"/>
    <mergeCell ref="A39:F39"/>
    <mergeCell ref="A33:F33"/>
    <mergeCell ref="A29:F29"/>
  </mergeCells>
  <pageMargins left="0.25" right="0.25" top="0.5" bottom="0.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822A1-3F60-4971-A973-E54C74D9CA53}">
  <sheetPr codeName="Sheet6"/>
  <dimension ref="A1:K190"/>
  <sheetViews>
    <sheetView zoomScale="70" zoomScaleNormal="70" workbookViewId="0">
      <selection activeCell="I23" sqref="I23"/>
    </sheetView>
  </sheetViews>
  <sheetFormatPr defaultRowHeight="14.4" x14ac:dyDescent="0.3"/>
  <cols>
    <col min="1" max="1" width="17.6640625" customWidth="1"/>
    <col min="2" max="2" width="53.33203125" customWidth="1"/>
    <col min="3" max="3" width="25" customWidth="1"/>
    <col min="4" max="4" width="16.6640625" bestFit="1" customWidth="1"/>
    <col min="5" max="5" width="23" customWidth="1"/>
    <col min="6" max="6" width="10.6640625" customWidth="1"/>
    <col min="7" max="8" width="24.5546875" customWidth="1"/>
    <col min="9" max="10" width="11.44140625" customWidth="1"/>
    <col min="11" max="11" width="24.88671875" bestFit="1" customWidth="1"/>
  </cols>
  <sheetData>
    <row r="1" spans="1:11" ht="15.6" x14ac:dyDescent="0.3">
      <c r="A1" s="41" t="s">
        <v>103</v>
      </c>
      <c r="E1" s="41"/>
      <c r="F1" s="41"/>
      <c r="G1" s="41"/>
      <c r="H1" s="41"/>
    </row>
    <row r="9" spans="1:11" x14ac:dyDescent="0.3">
      <c r="A9" s="78" t="s">
        <v>104</v>
      </c>
      <c r="D9" s="78" t="s">
        <v>105</v>
      </c>
    </row>
    <row r="10" spans="1:11" x14ac:dyDescent="0.3">
      <c r="A10" s="1" t="s">
        <v>106</v>
      </c>
      <c r="B10" s="77" t="s">
        <v>107</v>
      </c>
      <c r="D10" s="1" t="s">
        <v>105</v>
      </c>
      <c r="E10" s="1" t="s">
        <v>108</v>
      </c>
      <c r="F10" s="1" t="s">
        <v>109</v>
      </c>
      <c r="G10" s="1" t="s">
        <v>110</v>
      </c>
      <c r="H10" s="1"/>
      <c r="I10" s="1" t="s">
        <v>111</v>
      </c>
      <c r="J10" s="1"/>
      <c r="K10" s="1" t="s">
        <v>112</v>
      </c>
    </row>
    <row r="11" spans="1:11" x14ac:dyDescent="0.3">
      <c r="A11">
        <v>309</v>
      </c>
      <c r="B11" s="75" t="s">
        <v>113</v>
      </c>
      <c r="D11" t="s">
        <v>114</v>
      </c>
      <c r="E11" t="s">
        <v>115</v>
      </c>
      <c r="F11" t="s">
        <v>116</v>
      </c>
      <c r="G11">
        <v>1</v>
      </c>
      <c r="I11">
        <v>0.01</v>
      </c>
      <c r="K11" t="s">
        <v>7</v>
      </c>
    </row>
    <row r="12" spans="1:11" x14ac:dyDescent="0.3">
      <c r="A12">
        <v>311</v>
      </c>
      <c r="B12" s="76" t="s">
        <v>117</v>
      </c>
      <c r="D12" t="s">
        <v>118</v>
      </c>
      <c r="E12" t="s">
        <v>119</v>
      </c>
      <c r="F12" t="s">
        <v>120</v>
      </c>
      <c r="G12">
        <v>1</v>
      </c>
      <c r="I12">
        <v>0.05</v>
      </c>
      <c r="K12" t="s">
        <v>121</v>
      </c>
    </row>
    <row r="13" spans="1:11" x14ac:dyDescent="0.3">
      <c r="A13">
        <v>313</v>
      </c>
      <c r="B13" s="75" t="s">
        <v>122</v>
      </c>
      <c r="D13" t="s">
        <v>118</v>
      </c>
      <c r="E13" t="s">
        <v>123</v>
      </c>
      <c r="F13" t="s">
        <v>124</v>
      </c>
      <c r="G13">
        <f>12/43560</f>
        <v>2.7548209366391182E-4</v>
      </c>
      <c r="I13">
        <v>0.1</v>
      </c>
    </row>
    <row r="14" spans="1:11" x14ac:dyDescent="0.3">
      <c r="A14">
        <v>314</v>
      </c>
      <c r="B14" s="76" t="s">
        <v>125</v>
      </c>
      <c r="D14" t="s">
        <v>10</v>
      </c>
      <c r="E14" t="s">
        <v>126</v>
      </c>
      <c r="F14" t="s">
        <v>127</v>
      </c>
      <c r="G14">
        <v>1</v>
      </c>
    </row>
    <row r="15" spans="1:11" x14ac:dyDescent="0.3">
      <c r="A15">
        <v>315</v>
      </c>
      <c r="B15" s="75" t="s">
        <v>128</v>
      </c>
      <c r="D15" t="s">
        <v>10</v>
      </c>
      <c r="E15" t="s">
        <v>129</v>
      </c>
      <c r="F15" t="s">
        <v>130</v>
      </c>
      <c r="G15">
        <f>28.3168/453592</f>
        <v>6.2427908781459987E-5</v>
      </c>
    </row>
    <row r="16" spans="1:11" x14ac:dyDescent="0.3">
      <c r="A16">
        <v>316</v>
      </c>
      <c r="B16" s="76" t="s">
        <v>131</v>
      </c>
      <c r="D16" t="s">
        <v>10</v>
      </c>
      <c r="E16" t="s">
        <v>11</v>
      </c>
      <c r="F16" t="s">
        <v>132</v>
      </c>
      <c r="G16">
        <f>28.3168/453592</f>
        <v>6.2427908781459987E-5</v>
      </c>
    </row>
    <row r="17" spans="1:7" x14ac:dyDescent="0.3">
      <c r="A17">
        <v>317</v>
      </c>
      <c r="B17" s="75" t="s">
        <v>133</v>
      </c>
      <c r="D17" t="s">
        <v>134</v>
      </c>
      <c r="E17" t="s">
        <v>126</v>
      </c>
      <c r="F17" t="s">
        <v>127</v>
      </c>
      <c r="G17">
        <v>1</v>
      </c>
    </row>
    <row r="18" spans="1:7" x14ac:dyDescent="0.3">
      <c r="A18">
        <v>318</v>
      </c>
      <c r="B18" s="76" t="s">
        <v>135</v>
      </c>
      <c r="D18" t="s">
        <v>134</v>
      </c>
      <c r="E18" t="s">
        <v>129</v>
      </c>
      <c r="F18" t="s">
        <v>130</v>
      </c>
      <c r="G18">
        <f>28.3168/453592</f>
        <v>6.2427908781459987E-5</v>
      </c>
    </row>
    <row r="19" spans="1:7" x14ac:dyDescent="0.3">
      <c r="A19">
        <v>319</v>
      </c>
      <c r="B19" s="75" t="s">
        <v>136</v>
      </c>
      <c r="D19" t="s">
        <v>134</v>
      </c>
      <c r="E19" t="s">
        <v>11</v>
      </c>
      <c r="F19" t="s">
        <v>132</v>
      </c>
      <c r="G19">
        <f>28.3168/453592</f>
        <v>6.2427908781459987E-5</v>
      </c>
    </row>
    <row r="20" spans="1:7" x14ac:dyDescent="0.3">
      <c r="A20">
        <v>320</v>
      </c>
      <c r="B20" s="76" t="s">
        <v>137</v>
      </c>
      <c r="D20" t="s">
        <v>138</v>
      </c>
      <c r="E20" t="s">
        <v>126</v>
      </c>
      <c r="F20" t="s">
        <v>127</v>
      </c>
      <c r="G20">
        <v>1</v>
      </c>
    </row>
    <row r="21" spans="1:7" x14ac:dyDescent="0.3">
      <c r="A21">
        <v>324</v>
      </c>
      <c r="B21" s="75" t="s">
        <v>139</v>
      </c>
      <c r="D21" t="s">
        <v>138</v>
      </c>
      <c r="E21" t="s">
        <v>129</v>
      </c>
      <c r="F21" t="s">
        <v>130</v>
      </c>
      <c r="G21">
        <f>28.3168/453592</f>
        <v>6.2427908781459987E-5</v>
      </c>
    </row>
    <row r="22" spans="1:7" x14ac:dyDescent="0.3">
      <c r="A22">
        <v>325</v>
      </c>
      <c r="B22" s="76" t="s">
        <v>140</v>
      </c>
      <c r="D22" t="s">
        <v>138</v>
      </c>
      <c r="E22" t="s">
        <v>11</v>
      </c>
      <c r="F22" t="s">
        <v>132</v>
      </c>
      <c r="G22">
        <f>28.3168/453592</f>
        <v>6.2427908781459987E-5</v>
      </c>
    </row>
    <row r="23" spans="1:7" x14ac:dyDescent="0.3">
      <c r="A23">
        <v>326</v>
      </c>
      <c r="B23" s="75" t="s">
        <v>141</v>
      </c>
      <c r="D23" t="s">
        <v>142</v>
      </c>
      <c r="E23" t="s">
        <v>126</v>
      </c>
      <c r="F23" t="s">
        <v>127</v>
      </c>
      <c r="G23">
        <v>1</v>
      </c>
    </row>
    <row r="24" spans="1:7" x14ac:dyDescent="0.3">
      <c r="A24">
        <v>327</v>
      </c>
      <c r="B24" s="76" t="s">
        <v>143</v>
      </c>
      <c r="D24" t="s">
        <v>142</v>
      </c>
      <c r="E24" t="s">
        <v>129</v>
      </c>
      <c r="F24" t="s">
        <v>130</v>
      </c>
      <c r="G24">
        <f>28.3168/453592</f>
        <v>6.2427908781459987E-5</v>
      </c>
    </row>
    <row r="25" spans="1:7" x14ac:dyDescent="0.3">
      <c r="A25">
        <v>328</v>
      </c>
      <c r="B25" s="75" t="s">
        <v>144</v>
      </c>
      <c r="D25" t="s">
        <v>142</v>
      </c>
      <c r="E25" t="s">
        <v>11</v>
      </c>
      <c r="F25" t="s">
        <v>132</v>
      </c>
      <c r="G25">
        <f>28.3168/453592</f>
        <v>6.2427908781459987E-5</v>
      </c>
    </row>
    <row r="26" spans="1:7" x14ac:dyDescent="0.3">
      <c r="A26">
        <v>329</v>
      </c>
      <c r="B26" s="76" t="s">
        <v>145</v>
      </c>
      <c r="D26" t="s">
        <v>146</v>
      </c>
      <c r="E26" t="s">
        <v>126</v>
      </c>
      <c r="F26" t="s">
        <v>127</v>
      </c>
      <c r="G26">
        <v>1</v>
      </c>
    </row>
    <row r="27" spans="1:7" x14ac:dyDescent="0.3">
      <c r="A27">
        <v>330</v>
      </c>
      <c r="B27" s="75" t="s">
        <v>147</v>
      </c>
      <c r="D27" t="s">
        <v>146</v>
      </c>
      <c r="E27" t="s">
        <v>129</v>
      </c>
      <c r="F27" t="s">
        <v>130</v>
      </c>
      <c r="G27">
        <f>28.3168/453592</f>
        <v>6.2427908781459987E-5</v>
      </c>
    </row>
    <row r="28" spans="1:7" x14ac:dyDescent="0.3">
      <c r="A28">
        <v>331</v>
      </c>
      <c r="B28" s="76" t="s">
        <v>148</v>
      </c>
      <c r="D28" t="s">
        <v>146</v>
      </c>
      <c r="E28" t="s">
        <v>11</v>
      </c>
      <c r="F28" t="s">
        <v>132</v>
      </c>
      <c r="G28">
        <f>28.3168/453592</f>
        <v>6.2427908781459987E-5</v>
      </c>
    </row>
    <row r="29" spans="1:7" x14ac:dyDescent="0.3">
      <c r="A29">
        <v>332</v>
      </c>
      <c r="B29" s="75" t="s">
        <v>149</v>
      </c>
      <c r="D29" t="s">
        <v>150</v>
      </c>
      <c r="E29" t="s">
        <v>126</v>
      </c>
      <c r="F29" t="s">
        <v>127</v>
      </c>
      <c r="G29">
        <v>1</v>
      </c>
    </row>
    <row r="30" spans="1:7" x14ac:dyDescent="0.3">
      <c r="A30">
        <v>333</v>
      </c>
      <c r="B30" s="76" t="s">
        <v>151</v>
      </c>
      <c r="D30" t="s">
        <v>150</v>
      </c>
      <c r="E30" t="s">
        <v>129</v>
      </c>
      <c r="F30" t="s">
        <v>130</v>
      </c>
      <c r="G30">
        <f>28.3168/453592</f>
        <v>6.2427908781459987E-5</v>
      </c>
    </row>
    <row r="31" spans="1:7" x14ac:dyDescent="0.3">
      <c r="A31">
        <v>334</v>
      </c>
      <c r="B31" s="75" t="s">
        <v>152</v>
      </c>
      <c r="D31" t="s">
        <v>150</v>
      </c>
      <c r="E31" t="s">
        <v>11</v>
      </c>
      <c r="F31" t="s">
        <v>132</v>
      </c>
      <c r="G31">
        <f>28.3168/453592</f>
        <v>6.2427908781459987E-5</v>
      </c>
    </row>
    <row r="32" spans="1:7" x14ac:dyDescent="0.3">
      <c r="A32">
        <v>338</v>
      </c>
      <c r="B32" s="76" t="s">
        <v>153</v>
      </c>
      <c r="D32" t="s">
        <v>154</v>
      </c>
      <c r="E32" t="s">
        <v>126</v>
      </c>
      <c r="F32" t="s">
        <v>127</v>
      </c>
      <c r="G32">
        <v>1</v>
      </c>
    </row>
    <row r="33" spans="1:7" x14ac:dyDescent="0.3">
      <c r="A33">
        <v>340</v>
      </c>
      <c r="B33" s="75" t="s">
        <v>155</v>
      </c>
      <c r="D33" t="s">
        <v>154</v>
      </c>
      <c r="E33" t="s">
        <v>129</v>
      </c>
      <c r="F33" t="s">
        <v>130</v>
      </c>
      <c r="G33">
        <f>28.3168/453592</f>
        <v>6.2427908781459987E-5</v>
      </c>
    </row>
    <row r="34" spans="1:7" x14ac:dyDescent="0.3">
      <c r="A34">
        <v>342</v>
      </c>
      <c r="B34" s="76" t="s">
        <v>156</v>
      </c>
      <c r="D34" t="s">
        <v>154</v>
      </c>
      <c r="E34" t="s">
        <v>11</v>
      </c>
      <c r="F34" t="s">
        <v>132</v>
      </c>
      <c r="G34">
        <f>28.3168/453592</f>
        <v>6.2427908781459987E-5</v>
      </c>
    </row>
    <row r="35" spans="1:7" x14ac:dyDescent="0.3">
      <c r="A35">
        <v>345</v>
      </c>
      <c r="B35" s="75" t="s">
        <v>157</v>
      </c>
    </row>
    <row r="36" spans="1:7" x14ac:dyDescent="0.3">
      <c r="A36">
        <v>348</v>
      </c>
      <c r="B36" s="76" t="s">
        <v>158</v>
      </c>
    </row>
    <row r="37" spans="1:7" x14ac:dyDescent="0.3">
      <c r="A37">
        <v>350</v>
      </c>
      <c r="B37" s="75" t="s">
        <v>159</v>
      </c>
    </row>
    <row r="38" spans="1:7" x14ac:dyDescent="0.3">
      <c r="A38">
        <v>351</v>
      </c>
      <c r="B38" s="76" t="s">
        <v>160</v>
      </c>
    </row>
    <row r="39" spans="1:7" x14ac:dyDescent="0.3">
      <c r="A39">
        <v>356</v>
      </c>
      <c r="B39" s="75" t="s">
        <v>161</v>
      </c>
    </row>
    <row r="40" spans="1:7" x14ac:dyDescent="0.3">
      <c r="A40">
        <v>359</v>
      </c>
      <c r="B40" s="76" t="s">
        <v>162</v>
      </c>
    </row>
    <row r="41" spans="1:7" x14ac:dyDescent="0.3">
      <c r="A41">
        <v>360</v>
      </c>
      <c r="B41" s="75" t="s">
        <v>163</v>
      </c>
    </row>
    <row r="42" spans="1:7" x14ac:dyDescent="0.3">
      <c r="A42">
        <v>362</v>
      </c>
      <c r="B42" s="76" t="s">
        <v>164</v>
      </c>
    </row>
    <row r="43" spans="1:7" x14ac:dyDescent="0.3">
      <c r="A43">
        <v>366</v>
      </c>
      <c r="B43" s="75" t="s">
        <v>165</v>
      </c>
    </row>
    <row r="44" spans="1:7" x14ac:dyDescent="0.3">
      <c r="A44">
        <v>367</v>
      </c>
      <c r="B44" s="76" t="s">
        <v>166</v>
      </c>
    </row>
    <row r="45" spans="1:7" x14ac:dyDescent="0.3">
      <c r="A45">
        <v>368</v>
      </c>
      <c r="B45" s="75" t="s">
        <v>167</v>
      </c>
    </row>
    <row r="46" spans="1:7" x14ac:dyDescent="0.3">
      <c r="A46">
        <v>371</v>
      </c>
      <c r="B46" s="76" t="s">
        <v>168</v>
      </c>
    </row>
    <row r="47" spans="1:7" x14ac:dyDescent="0.3">
      <c r="A47">
        <v>372</v>
      </c>
      <c r="B47" s="75" t="s">
        <v>169</v>
      </c>
    </row>
    <row r="48" spans="1:7" x14ac:dyDescent="0.3">
      <c r="A48">
        <v>373</v>
      </c>
      <c r="B48" s="76" t="s">
        <v>170</v>
      </c>
    </row>
    <row r="49" spans="1:2" x14ac:dyDescent="0.3">
      <c r="A49">
        <v>374</v>
      </c>
      <c r="B49" s="75" t="s">
        <v>171</v>
      </c>
    </row>
    <row r="50" spans="1:2" x14ac:dyDescent="0.3">
      <c r="A50">
        <v>375</v>
      </c>
      <c r="B50" s="76" t="s">
        <v>172</v>
      </c>
    </row>
    <row r="51" spans="1:2" x14ac:dyDescent="0.3">
      <c r="A51">
        <v>376</v>
      </c>
      <c r="B51" s="75" t="s">
        <v>173</v>
      </c>
    </row>
    <row r="52" spans="1:2" x14ac:dyDescent="0.3">
      <c r="A52">
        <v>378</v>
      </c>
      <c r="B52" s="76" t="s">
        <v>174</v>
      </c>
    </row>
    <row r="53" spans="1:2" x14ac:dyDescent="0.3">
      <c r="A53">
        <v>379</v>
      </c>
      <c r="B53" s="75" t="s">
        <v>175</v>
      </c>
    </row>
    <row r="54" spans="1:2" x14ac:dyDescent="0.3">
      <c r="A54">
        <v>380</v>
      </c>
      <c r="B54" s="76" t="s">
        <v>176</v>
      </c>
    </row>
    <row r="55" spans="1:2" x14ac:dyDescent="0.3">
      <c r="A55">
        <v>381</v>
      </c>
      <c r="B55" s="75" t="s">
        <v>177</v>
      </c>
    </row>
    <row r="56" spans="1:2" x14ac:dyDescent="0.3">
      <c r="A56">
        <v>382</v>
      </c>
      <c r="B56" s="76" t="s">
        <v>178</v>
      </c>
    </row>
    <row r="57" spans="1:2" x14ac:dyDescent="0.3">
      <c r="A57">
        <v>383</v>
      </c>
      <c r="B57" s="75" t="s">
        <v>179</v>
      </c>
    </row>
    <row r="58" spans="1:2" x14ac:dyDescent="0.3">
      <c r="A58">
        <v>384</v>
      </c>
      <c r="B58" s="76" t="s">
        <v>180</v>
      </c>
    </row>
    <row r="59" spans="1:2" x14ac:dyDescent="0.3">
      <c r="A59">
        <v>386</v>
      </c>
      <c r="B59" s="75" t="s">
        <v>181</v>
      </c>
    </row>
    <row r="60" spans="1:2" x14ac:dyDescent="0.3">
      <c r="A60">
        <v>388</v>
      </c>
      <c r="B60" s="76" t="s">
        <v>182</v>
      </c>
    </row>
    <row r="61" spans="1:2" x14ac:dyDescent="0.3">
      <c r="A61">
        <v>390</v>
      </c>
      <c r="B61" s="75" t="s">
        <v>183</v>
      </c>
    </row>
    <row r="62" spans="1:2" x14ac:dyDescent="0.3">
      <c r="A62">
        <v>391</v>
      </c>
      <c r="B62" s="76" t="s">
        <v>184</v>
      </c>
    </row>
    <row r="63" spans="1:2" x14ac:dyDescent="0.3">
      <c r="A63">
        <v>393</v>
      </c>
      <c r="B63" s="75" t="s">
        <v>185</v>
      </c>
    </row>
    <row r="64" spans="1:2" x14ac:dyDescent="0.3">
      <c r="A64">
        <v>394</v>
      </c>
      <c r="B64" s="76" t="s">
        <v>186</v>
      </c>
    </row>
    <row r="65" spans="1:2" x14ac:dyDescent="0.3">
      <c r="A65">
        <v>395</v>
      </c>
      <c r="B65" s="75" t="s">
        <v>187</v>
      </c>
    </row>
    <row r="66" spans="1:2" x14ac:dyDescent="0.3">
      <c r="A66">
        <v>396</v>
      </c>
      <c r="B66" s="76" t="s">
        <v>188</v>
      </c>
    </row>
    <row r="67" spans="1:2" x14ac:dyDescent="0.3">
      <c r="A67">
        <v>397</v>
      </c>
      <c r="B67" s="75" t="s">
        <v>189</v>
      </c>
    </row>
    <row r="68" spans="1:2" x14ac:dyDescent="0.3">
      <c r="A68">
        <v>398</v>
      </c>
      <c r="B68" s="76" t="s">
        <v>190</v>
      </c>
    </row>
    <row r="69" spans="1:2" x14ac:dyDescent="0.3">
      <c r="A69">
        <v>399</v>
      </c>
      <c r="B69" s="75" t="s">
        <v>191</v>
      </c>
    </row>
    <row r="70" spans="1:2" x14ac:dyDescent="0.3">
      <c r="A70">
        <v>400</v>
      </c>
      <c r="B70" s="76" t="s">
        <v>192</v>
      </c>
    </row>
    <row r="71" spans="1:2" x14ac:dyDescent="0.3">
      <c r="A71">
        <v>402</v>
      </c>
      <c r="B71" s="75" t="s">
        <v>193</v>
      </c>
    </row>
    <row r="72" spans="1:2" x14ac:dyDescent="0.3">
      <c r="A72">
        <v>410</v>
      </c>
      <c r="B72" s="76" t="s">
        <v>194</v>
      </c>
    </row>
    <row r="73" spans="1:2" x14ac:dyDescent="0.3">
      <c r="A73">
        <v>412</v>
      </c>
      <c r="B73" s="75" t="s">
        <v>195</v>
      </c>
    </row>
    <row r="74" spans="1:2" x14ac:dyDescent="0.3">
      <c r="A74">
        <v>420</v>
      </c>
      <c r="B74" s="76" t="s">
        <v>196</v>
      </c>
    </row>
    <row r="75" spans="1:2" x14ac:dyDescent="0.3">
      <c r="A75">
        <v>422</v>
      </c>
      <c r="B75" s="75" t="s">
        <v>197</v>
      </c>
    </row>
    <row r="76" spans="1:2" x14ac:dyDescent="0.3">
      <c r="A76">
        <v>423</v>
      </c>
      <c r="B76" s="76" t="s">
        <v>198</v>
      </c>
    </row>
    <row r="77" spans="1:2" x14ac:dyDescent="0.3">
      <c r="A77">
        <v>428</v>
      </c>
      <c r="B77" s="75" t="s">
        <v>199</v>
      </c>
    </row>
    <row r="78" spans="1:2" x14ac:dyDescent="0.3">
      <c r="A78">
        <v>430</v>
      </c>
      <c r="B78" s="76" t="s">
        <v>200</v>
      </c>
    </row>
    <row r="79" spans="1:2" x14ac:dyDescent="0.3">
      <c r="A79">
        <v>432</v>
      </c>
      <c r="B79" s="75" t="s">
        <v>201</v>
      </c>
    </row>
    <row r="80" spans="1:2" x14ac:dyDescent="0.3">
      <c r="A80">
        <v>436</v>
      </c>
      <c r="B80" s="76" t="s">
        <v>202</v>
      </c>
    </row>
    <row r="81" spans="1:2" x14ac:dyDescent="0.3">
      <c r="A81">
        <v>441</v>
      </c>
      <c r="B81" s="75" t="s">
        <v>203</v>
      </c>
    </row>
    <row r="82" spans="1:2" x14ac:dyDescent="0.3">
      <c r="A82">
        <v>442</v>
      </c>
      <c r="B82" s="76" t="s">
        <v>204</v>
      </c>
    </row>
    <row r="83" spans="1:2" x14ac:dyDescent="0.3">
      <c r="A83">
        <v>443</v>
      </c>
      <c r="B83" s="75" t="s">
        <v>205</v>
      </c>
    </row>
    <row r="84" spans="1:2" x14ac:dyDescent="0.3">
      <c r="A84">
        <v>447</v>
      </c>
      <c r="B84" s="76" t="s">
        <v>206</v>
      </c>
    </row>
    <row r="85" spans="1:2" x14ac:dyDescent="0.3">
      <c r="A85">
        <v>449</v>
      </c>
      <c r="B85" s="75" t="s">
        <v>207</v>
      </c>
    </row>
    <row r="86" spans="1:2" x14ac:dyDescent="0.3">
      <c r="A86">
        <v>450</v>
      </c>
      <c r="B86" s="76" t="s">
        <v>208</v>
      </c>
    </row>
    <row r="87" spans="1:2" x14ac:dyDescent="0.3">
      <c r="A87">
        <v>453</v>
      </c>
      <c r="B87" s="75" t="s">
        <v>209</v>
      </c>
    </row>
    <row r="88" spans="1:2" x14ac:dyDescent="0.3">
      <c r="A88">
        <v>455</v>
      </c>
      <c r="B88" s="76" t="s">
        <v>210</v>
      </c>
    </row>
    <row r="89" spans="1:2" x14ac:dyDescent="0.3">
      <c r="A89">
        <v>457</v>
      </c>
      <c r="B89" s="75" t="s">
        <v>211</v>
      </c>
    </row>
    <row r="90" spans="1:2" x14ac:dyDescent="0.3">
      <c r="A90">
        <v>460</v>
      </c>
      <c r="B90" s="76" t="s">
        <v>212</v>
      </c>
    </row>
    <row r="91" spans="1:2" x14ac:dyDescent="0.3">
      <c r="A91">
        <v>462</v>
      </c>
      <c r="B91" s="75" t="s">
        <v>213</v>
      </c>
    </row>
    <row r="92" spans="1:2" x14ac:dyDescent="0.3">
      <c r="A92">
        <v>464</v>
      </c>
      <c r="B92" s="76" t="s">
        <v>214</v>
      </c>
    </row>
    <row r="93" spans="1:2" x14ac:dyDescent="0.3">
      <c r="A93">
        <v>468</v>
      </c>
      <c r="B93" s="75" t="s">
        <v>215</v>
      </c>
    </row>
    <row r="94" spans="1:2" x14ac:dyDescent="0.3">
      <c r="A94">
        <v>472</v>
      </c>
      <c r="B94" s="76" t="s">
        <v>216</v>
      </c>
    </row>
    <row r="95" spans="1:2" x14ac:dyDescent="0.3">
      <c r="A95">
        <v>484</v>
      </c>
      <c r="B95" s="75" t="s">
        <v>217</v>
      </c>
    </row>
    <row r="96" spans="1:2" x14ac:dyDescent="0.3">
      <c r="A96">
        <v>490</v>
      </c>
      <c r="B96" s="76" t="s">
        <v>218</v>
      </c>
    </row>
    <row r="97" spans="1:2" x14ac:dyDescent="0.3">
      <c r="A97">
        <v>500</v>
      </c>
      <c r="B97" s="75" t="s">
        <v>219</v>
      </c>
    </row>
    <row r="98" spans="1:2" x14ac:dyDescent="0.3">
      <c r="A98">
        <v>511</v>
      </c>
      <c r="B98" s="76" t="s">
        <v>220</v>
      </c>
    </row>
    <row r="99" spans="1:2" x14ac:dyDescent="0.3">
      <c r="A99">
        <v>512</v>
      </c>
      <c r="B99" s="75" t="s">
        <v>221</v>
      </c>
    </row>
    <row r="100" spans="1:2" x14ac:dyDescent="0.3">
      <c r="A100">
        <v>516</v>
      </c>
      <c r="B100" s="76" t="s">
        <v>222</v>
      </c>
    </row>
    <row r="101" spans="1:2" x14ac:dyDescent="0.3">
      <c r="A101">
        <v>520</v>
      </c>
      <c r="B101" s="75" t="s">
        <v>223</v>
      </c>
    </row>
    <row r="102" spans="1:2" x14ac:dyDescent="0.3">
      <c r="A102">
        <v>521</v>
      </c>
      <c r="B102" s="76" t="s">
        <v>224</v>
      </c>
    </row>
    <row r="103" spans="1:2" x14ac:dyDescent="0.3">
      <c r="A103">
        <v>522</v>
      </c>
      <c r="B103" s="75" t="s">
        <v>225</v>
      </c>
    </row>
    <row r="104" spans="1:2" x14ac:dyDescent="0.3">
      <c r="A104">
        <v>527</v>
      </c>
      <c r="B104" s="76" t="s">
        <v>226</v>
      </c>
    </row>
    <row r="105" spans="1:2" x14ac:dyDescent="0.3">
      <c r="A105">
        <v>528</v>
      </c>
      <c r="B105" s="75" t="s">
        <v>227</v>
      </c>
    </row>
    <row r="106" spans="1:2" x14ac:dyDescent="0.3">
      <c r="A106">
        <v>533</v>
      </c>
      <c r="B106" s="76" t="s">
        <v>228</v>
      </c>
    </row>
    <row r="107" spans="1:2" x14ac:dyDescent="0.3">
      <c r="A107">
        <v>543</v>
      </c>
      <c r="B107" s="75" t="s">
        <v>229</v>
      </c>
    </row>
    <row r="108" spans="1:2" x14ac:dyDescent="0.3">
      <c r="A108">
        <v>544</v>
      </c>
      <c r="B108" s="76" t="s">
        <v>230</v>
      </c>
    </row>
    <row r="109" spans="1:2" x14ac:dyDescent="0.3">
      <c r="A109">
        <v>548</v>
      </c>
      <c r="B109" s="75" t="s">
        <v>231</v>
      </c>
    </row>
    <row r="110" spans="1:2" x14ac:dyDescent="0.3">
      <c r="A110">
        <v>550</v>
      </c>
      <c r="B110" s="76" t="s">
        <v>232</v>
      </c>
    </row>
    <row r="111" spans="1:2" x14ac:dyDescent="0.3">
      <c r="A111">
        <v>554</v>
      </c>
      <c r="B111" s="75" t="s">
        <v>233</v>
      </c>
    </row>
    <row r="112" spans="1:2" x14ac:dyDescent="0.3">
      <c r="A112">
        <v>555</v>
      </c>
      <c r="B112" s="76" t="s">
        <v>234</v>
      </c>
    </row>
    <row r="113" spans="1:2" x14ac:dyDescent="0.3">
      <c r="A113">
        <v>557</v>
      </c>
      <c r="B113" s="75" t="s">
        <v>235</v>
      </c>
    </row>
    <row r="114" spans="1:2" x14ac:dyDescent="0.3">
      <c r="A114">
        <v>558</v>
      </c>
      <c r="B114" s="76" t="s">
        <v>236</v>
      </c>
    </row>
    <row r="115" spans="1:2" x14ac:dyDescent="0.3">
      <c r="A115">
        <v>560</v>
      </c>
      <c r="B115" s="75" t="s">
        <v>237</v>
      </c>
    </row>
    <row r="116" spans="1:2" x14ac:dyDescent="0.3">
      <c r="A116">
        <v>561</v>
      </c>
      <c r="B116" s="76" t="s">
        <v>238</v>
      </c>
    </row>
    <row r="117" spans="1:2" x14ac:dyDescent="0.3">
      <c r="A117">
        <v>562</v>
      </c>
      <c r="B117" s="75" t="s">
        <v>239</v>
      </c>
    </row>
    <row r="118" spans="1:2" x14ac:dyDescent="0.3">
      <c r="A118">
        <v>570</v>
      </c>
      <c r="B118" s="76" t="s">
        <v>240</v>
      </c>
    </row>
    <row r="119" spans="1:2" x14ac:dyDescent="0.3">
      <c r="A119">
        <v>572</v>
      </c>
      <c r="B119" s="75" t="s">
        <v>241</v>
      </c>
    </row>
    <row r="120" spans="1:2" x14ac:dyDescent="0.3">
      <c r="A120">
        <v>574</v>
      </c>
      <c r="B120" s="76" t="s">
        <v>242</v>
      </c>
    </row>
    <row r="121" spans="1:2" x14ac:dyDescent="0.3">
      <c r="A121">
        <v>575</v>
      </c>
      <c r="B121" s="75" t="s">
        <v>243</v>
      </c>
    </row>
    <row r="122" spans="1:2" x14ac:dyDescent="0.3">
      <c r="A122">
        <v>576</v>
      </c>
      <c r="B122" s="76" t="s">
        <v>244</v>
      </c>
    </row>
    <row r="123" spans="1:2" x14ac:dyDescent="0.3">
      <c r="A123">
        <v>580</v>
      </c>
      <c r="B123" s="75" t="s">
        <v>245</v>
      </c>
    </row>
    <row r="124" spans="1:2" x14ac:dyDescent="0.3">
      <c r="A124">
        <v>582</v>
      </c>
      <c r="B124" s="76" t="s">
        <v>246</v>
      </c>
    </row>
    <row r="125" spans="1:2" x14ac:dyDescent="0.3">
      <c r="A125">
        <v>584</v>
      </c>
      <c r="B125" s="75" t="s">
        <v>247</v>
      </c>
    </row>
    <row r="126" spans="1:2" x14ac:dyDescent="0.3">
      <c r="A126">
        <v>585</v>
      </c>
      <c r="B126" s="76" t="s">
        <v>248</v>
      </c>
    </row>
    <row r="127" spans="1:2" x14ac:dyDescent="0.3">
      <c r="A127">
        <v>587</v>
      </c>
      <c r="B127" s="75" t="s">
        <v>249</v>
      </c>
    </row>
    <row r="128" spans="1:2" x14ac:dyDescent="0.3">
      <c r="A128">
        <v>588</v>
      </c>
      <c r="B128" s="76" t="s">
        <v>250</v>
      </c>
    </row>
    <row r="129" spans="1:2" x14ac:dyDescent="0.3">
      <c r="A129">
        <v>589</v>
      </c>
      <c r="B129" s="75" t="s">
        <v>251</v>
      </c>
    </row>
    <row r="130" spans="1:2" x14ac:dyDescent="0.3">
      <c r="A130">
        <v>590</v>
      </c>
      <c r="B130" s="76" t="s">
        <v>252</v>
      </c>
    </row>
    <row r="131" spans="1:2" x14ac:dyDescent="0.3">
      <c r="A131">
        <v>591</v>
      </c>
      <c r="B131" s="75" t="s">
        <v>253</v>
      </c>
    </row>
    <row r="132" spans="1:2" x14ac:dyDescent="0.3">
      <c r="A132">
        <v>592</v>
      </c>
      <c r="B132" s="76" t="s">
        <v>254</v>
      </c>
    </row>
    <row r="133" spans="1:2" x14ac:dyDescent="0.3">
      <c r="A133">
        <v>595</v>
      </c>
      <c r="B133" s="75" t="s">
        <v>255</v>
      </c>
    </row>
    <row r="134" spans="1:2" x14ac:dyDescent="0.3">
      <c r="A134">
        <v>600</v>
      </c>
      <c r="B134" s="76" t="s">
        <v>256</v>
      </c>
    </row>
    <row r="135" spans="1:2" x14ac:dyDescent="0.3">
      <c r="A135">
        <v>601</v>
      </c>
      <c r="B135" s="75" t="s">
        <v>257</v>
      </c>
    </row>
    <row r="136" spans="1:2" x14ac:dyDescent="0.3">
      <c r="A136">
        <v>603</v>
      </c>
      <c r="B136" s="76" t="s">
        <v>258</v>
      </c>
    </row>
    <row r="137" spans="1:2" x14ac:dyDescent="0.3">
      <c r="A137">
        <v>604</v>
      </c>
      <c r="B137" s="75" t="s">
        <v>259</v>
      </c>
    </row>
    <row r="138" spans="1:2" x14ac:dyDescent="0.3">
      <c r="A138">
        <v>605</v>
      </c>
      <c r="B138" s="76" t="s">
        <v>260</v>
      </c>
    </row>
    <row r="139" spans="1:2" x14ac:dyDescent="0.3">
      <c r="A139">
        <v>606</v>
      </c>
      <c r="B139" s="75" t="s">
        <v>261</v>
      </c>
    </row>
    <row r="140" spans="1:2" x14ac:dyDescent="0.3">
      <c r="A140">
        <v>607</v>
      </c>
      <c r="B140" s="76" t="s">
        <v>262</v>
      </c>
    </row>
    <row r="141" spans="1:2" x14ac:dyDescent="0.3">
      <c r="A141">
        <v>608</v>
      </c>
      <c r="B141" s="75" t="s">
        <v>263</v>
      </c>
    </row>
    <row r="142" spans="1:2" x14ac:dyDescent="0.3">
      <c r="A142">
        <v>609</v>
      </c>
      <c r="B142" s="76" t="s">
        <v>264</v>
      </c>
    </row>
    <row r="143" spans="1:2" x14ac:dyDescent="0.3">
      <c r="A143">
        <v>610</v>
      </c>
      <c r="B143" s="75" t="s">
        <v>265</v>
      </c>
    </row>
    <row r="144" spans="1:2" x14ac:dyDescent="0.3">
      <c r="A144">
        <v>612</v>
      </c>
      <c r="B144" s="76" t="s">
        <v>266</v>
      </c>
    </row>
    <row r="145" spans="1:2" x14ac:dyDescent="0.3">
      <c r="A145">
        <v>614</v>
      </c>
      <c r="B145" s="75" t="s">
        <v>267</v>
      </c>
    </row>
    <row r="146" spans="1:2" x14ac:dyDescent="0.3">
      <c r="A146">
        <v>620</v>
      </c>
      <c r="B146" s="76" t="s">
        <v>268</v>
      </c>
    </row>
    <row r="147" spans="1:2" x14ac:dyDescent="0.3">
      <c r="A147">
        <v>629</v>
      </c>
      <c r="B147" s="75" t="s">
        <v>269</v>
      </c>
    </row>
    <row r="148" spans="1:2" x14ac:dyDescent="0.3">
      <c r="A148">
        <v>630</v>
      </c>
      <c r="B148" s="76" t="s">
        <v>270</v>
      </c>
    </row>
    <row r="149" spans="1:2" x14ac:dyDescent="0.3">
      <c r="A149">
        <v>632</v>
      </c>
      <c r="B149" s="75" t="s">
        <v>271</v>
      </c>
    </row>
    <row r="150" spans="1:2" x14ac:dyDescent="0.3">
      <c r="A150">
        <v>633</v>
      </c>
      <c r="B150" s="76" t="s">
        <v>272</v>
      </c>
    </row>
    <row r="151" spans="1:2" x14ac:dyDescent="0.3">
      <c r="A151">
        <v>634</v>
      </c>
      <c r="B151" s="75" t="s">
        <v>273</v>
      </c>
    </row>
    <row r="152" spans="1:2" x14ac:dyDescent="0.3">
      <c r="A152">
        <v>635</v>
      </c>
      <c r="B152" s="76" t="s">
        <v>274</v>
      </c>
    </row>
    <row r="153" spans="1:2" x14ac:dyDescent="0.3">
      <c r="A153">
        <v>636</v>
      </c>
      <c r="B153" s="75" t="s">
        <v>275</v>
      </c>
    </row>
    <row r="154" spans="1:2" x14ac:dyDescent="0.3">
      <c r="A154">
        <v>638</v>
      </c>
      <c r="B154" s="76" t="s">
        <v>276</v>
      </c>
    </row>
    <row r="155" spans="1:2" x14ac:dyDescent="0.3">
      <c r="A155">
        <v>640</v>
      </c>
      <c r="B155" s="75" t="s">
        <v>277</v>
      </c>
    </row>
    <row r="156" spans="1:2" x14ac:dyDescent="0.3">
      <c r="A156">
        <v>642</v>
      </c>
      <c r="B156" s="76" t="s">
        <v>278</v>
      </c>
    </row>
    <row r="157" spans="1:2" x14ac:dyDescent="0.3">
      <c r="A157">
        <v>643</v>
      </c>
      <c r="B157" s="75" t="s">
        <v>279</v>
      </c>
    </row>
    <row r="158" spans="1:2" x14ac:dyDescent="0.3">
      <c r="A158">
        <v>644</v>
      </c>
      <c r="B158" s="76" t="s">
        <v>280</v>
      </c>
    </row>
    <row r="159" spans="1:2" x14ac:dyDescent="0.3">
      <c r="A159">
        <v>645</v>
      </c>
      <c r="B159" s="75" t="s">
        <v>281</v>
      </c>
    </row>
    <row r="160" spans="1:2" x14ac:dyDescent="0.3">
      <c r="A160">
        <v>646</v>
      </c>
      <c r="B160" s="76" t="s">
        <v>282</v>
      </c>
    </row>
    <row r="161" spans="1:2" x14ac:dyDescent="0.3">
      <c r="A161">
        <v>647</v>
      </c>
      <c r="B161" s="75" t="s">
        <v>283</v>
      </c>
    </row>
    <row r="162" spans="1:2" x14ac:dyDescent="0.3">
      <c r="A162">
        <v>649</v>
      </c>
      <c r="B162" s="76" t="s">
        <v>284</v>
      </c>
    </row>
    <row r="163" spans="1:2" x14ac:dyDescent="0.3">
      <c r="A163">
        <v>650</v>
      </c>
      <c r="B163" s="75" t="s">
        <v>285</v>
      </c>
    </row>
    <row r="164" spans="1:2" x14ac:dyDescent="0.3">
      <c r="A164">
        <v>654</v>
      </c>
      <c r="B164" s="76" t="s">
        <v>286</v>
      </c>
    </row>
    <row r="165" spans="1:2" x14ac:dyDescent="0.3">
      <c r="A165">
        <v>655</v>
      </c>
      <c r="B165" s="75" t="s">
        <v>287</v>
      </c>
    </row>
    <row r="166" spans="1:2" x14ac:dyDescent="0.3">
      <c r="A166">
        <v>656</v>
      </c>
      <c r="B166" s="76" t="s">
        <v>288</v>
      </c>
    </row>
    <row r="167" spans="1:2" x14ac:dyDescent="0.3">
      <c r="A167">
        <v>657</v>
      </c>
      <c r="B167" s="75" t="s">
        <v>289</v>
      </c>
    </row>
    <row r="168" spans="1:2" x14ac:dyDescent="0.3">
      <c r="A168">
        <v>658</v>
      </c>
      <c r="B168" s="76" t="s">
        <v>290</v>
      </c>
    </row>
    <row r="169" spans="1:2" x14ac:dyDescent="0.3">
      <c r="A169">
        <v>659</v>
      </c>
      <c r="B169" s="75" t="s">
        <v>291</v>
      </c>
    </row>
    <row r="170" spans="1:2" x14ac:dyDescent="0.3">
      <c r="A170">
        <v>660</v>
      </c>
      <c r="B170" s="76" t="s">
        <v>292</v>
      </c>
    </row>
    <row r="171" spans="1:2" x14ac:dyDescent="0.3">
      <c r="A171">
        <v>666</v>
      </c>
      <c r="B171" s="75" t="s">
        <v>293</v>
      </c>
    </row>
    <row r="172" spans="1:2" x14ac:dyDescent="0.3">
      <c r="A172">
        <v>670</v>
      </c>
      <c r="B172" s="76" t="s">
        <v>294</v>
      </c>
    </row>
    <row r="173" spans="1:2" x14ac:dyDescent="0.3">
      <c r="A173">
        <v>672</v>
      </c>
      <c r="B173" s="75" t="s">
        <v>295</v>
      </c>
    </row>
    <row r="174" spans="1:2" x14ac:dyDescent="0.3">
      <c r="A174">
        <v>724</v>
      </c>
      <c r="B174" s="76" t="s">
        <v>296</v>
      </c>
    </row>
    <row r="175" spans="1:2" x14ac:dyDescent="0.3">
      <c r="A175">
        <v>735</v>
      </c>
      <c r="B175" s="75" t="s">
        <v>297</v>
      </c>
    </row>
    <row r="176" spans="1:2" x14ac:dyDescent="0.3">
      <c r="A176">
        <v>736</v>
      </c>
      <c r="B176" s="76" t="s">
        <v>298</v>
      </c>
    </row>
    <row r="177" spans="1:2" x14ac:dyDescent="0.3">
      <c r="A177">
        <v>737</v>
      </c>
      <c r="B177" s="75" t="s">
        <v>299</v>
      </c>
    </row>
    <row r="178" spans="1:2" x14ac:dyDescent="0.3">
      <c r="A178">
        <v>740</v>
      </c>
      <c r="B178" s="76" t="s">
        <v>300</v>
      </c>
    </row>
    <row r="179" spans="1:2" x14ac:dyDescent="0.3">
      <c r="A179">
        <v>751</v>
      </c>
      <c r="B179" s="75" t="s">
        <v>301</v>
      </c>
    </row>
    <row r="180" spans="1:2" x14ac:dyDescent="0.3">
      <c r="A180">
        <v>753</v>
      </c>
      <c r="B180" s="76" t="s">
        <v>302</v>
      </c>
    </row>
    <row r="181" spans="1:2" x14ac:dyDescent="0.3">
      <c r="A181">
        <v>755</v>
      </c>
      <c r="B181" s="75" t="s">
        <v>303</v>
      </c>
    </row>
    <row r="182" spans="1:2" x14ac:dyDescent="0.3">
      <c r="A182">
        <v>770</v>
      </c>
      <c r="B182" s="76" t="s">
        <v>304</v>
      </c>
    </row>
    <row r="183" spans="1:2" x14ac:dyDescent="0.3">
      <c r="A183">
        <v>775</v>
      </c>
      <c r="B183" s="75" t="s">
        <v>305</v>
      </c>
    </row>
    <row r="184" spans="1:2" x14ac:dyDescent="0.3">
      <c r="A184">
        <v>782</v>
      </c>
      <c r="B184" s="76" t="s">
        <v>306</v>
      </c>
    </row>
    <row r="185" spans="1:2" x14ac:dyDescent="0.3">
      <c r="A185">
        <v>800</v>
      </c>
      <c r="B185" s="75" t="s">
        <v>307</v>
      </c>
    </row>
    <row r="186" spans="1:2" x14ac:dyDescent="0.3">
      <c r="A186">
        <v>803</v>
      </c>
      <c r="B186" s="76" t="s">
        <v>308</v>
      </c>
    </row>
    <row r="187" spans="1:2" x14ac:dyDescent="0.3">
      <c r="A187">
        <v>808</v>
      </c>
      <c r="B187" s="75" t="s">
        <v>309</v>
      </c>
    </row>
    <row r="188" spans="1:2" x14ac:dyDescent="0.3">
      <c r="A188">
        <v>810</v>
      </c>
      <c r="B188" s="76" t="s">
        <v>310</v>
      </c>
    </row>
    <row r="189" spans="1:2" x14ac:dyDescent="0.3">
      <c r="A189">
        <v>815</v>
      </c>
      <c r="B189" s="75" t="s">
        <v>311</v>
      </c>
    </row>
    <row r="190" spans="1:2" x14ac:dyDescent="0.3">
      <c r="A190">
        <v>817</v>
      </c>
      <c r="B190" s="74" t="s">
        <v>312</v>
      </c>
    </row>
  </sheetData>
  <sheetProtection algorithmName="SHA-512" hashValue="xPZ8qX5BJxd3w+DJ/6McBArY9aK8AXSo2paoZbnH7vjubQCZt0TkuJuDT6qsUB2ko45eZVqwFkw73v5mXk2ypQ==" saltValue="BTBgWKri8jGmZ3SwUSJfYQ==" spinCount="100000" sheet="1" objects="1" scenarios="1" selectLockedCells="1" selectUnlockedCells="1"/>
  <phoneticPr fontId="13" type="noConversion"/>
  <pageMargins left="0.7" right="0.7" top="0.75" bottom="0.75" header="0.3" footer="0.3"/>
  <legacyDrawing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3D681-D770-4C37-94F1-C4DC140B51E9}">
  <sheetPr codeName="Sheet7"/>
  <dimension ref="B7:D260"/>
  <sheetViews>
    <sheetView workbookViewId="0">
      <selection activeCell="B7" sqref="B7"/>
    </sheetView>
  </sheetViews>
  <sheetFormatPr defaultRowHeight="14.4" x14ac:dyDescent="0.3"/>
  <sheetData>
    <row r="7" spans="2:4" x14ac:dyDescent="0.3">
      <c r="B7" t="s">
        <v>481</v>
      </c>
    </row>
    <row r="8" spans="2:4" x14ac:dyDescent="0.3">
      <c r="B8" t="s">
        <v>482</v>
      </c>
      <c r="C8" t="s">
        <v>483</v>
      </c>
      <c r="D8" t="s">
        <v>484</v>
      </c>
    </row>
    <row r="9" spans="2:4" x14ac:dyDescent="0.3">
      <c r="B9">
        <f>tool!$D$8</f>
        <v>0</v>
      </c>
    </row>
    <row r="10" spans="2:4" x14ac:dyDescent="0.3">
      <c r="B10">
        <f>tool!$D$8</f>
        <v>0</v>
      </c>
    </row>
    <row r="11" spans="2:4" x14ac:dyDescent="0.3">
      <c r="B11">
        <f>tool!$D$8</f>
        <v>0</v>
      </c>
    </row>
    <row r="12" spans="2:4" x14ac:dyDescent="0.3">
      <c r="B12">
        <f>tool!$D$8</f>
        <v>0</v>
      </c>
    </row>
    <row r="13" spans="2:4" x14ac:dyDescent="0.3">
      <c r="B13">
        <f>tool!$D$8</f>
        <v>0</v>
      </c>
    </row>
    <row r="14" spans="2:4" x14ac:dyDescent="0.3">
      <c r="B14">
        <f>tool!$D$8</f>
        <v>0</v>
      </c>
    </row>
    <row r="15" spans="2:4" x14ac:dyDescent="0.3">
      <c r="B15">
        <f>tool!$D$8</f>
        <v>0</v>
      </c>
    </row>
    <row r="16" spans="2:4" x14ac:dyDescent="0.3">
      <c r="B16">
        <f>tool!$D$8</f>
        <v>0</v>
      </c>
    </row>
    <row r="17" spans="2:2" x14ac:dyDescent="0.3">
      <c r="B17">
        <f>tool!$D$8</f>
        <v>0</v>
      </c>
    </row>
    <row r="18" spans="2:2" x14ac:dyDescent="0.3">
      <c r="B18">
        <f>tool!$D$8</f>
        <v>0</v>
      </c>
    </row>
    <row r="19" spans="2:2" x14ac:dyDescent="0.3">
      <c r="B19">
        <f>tool!$D$8</f>
        <v>0</v>
      </c>
    </row>
    <row r="20" spans="2:2" x14ac:dyDescent="0.3">
      <c r="B20">
        <f>tool!$D$8</f>
        <v>0</v>
      </c>
    </row>
    <row r="21" spans="2:2" x14ac:dyDescent="0.3">
      <c r="B21">
        <f>tool!$D$8</f>
        <v>0</v>
      </c>
    </row>
    <row r="22" spans="2:2" x14ac:dyDescent="0.3">
      <c r="B22">
        <f>tool!$D$8</f>
        <v>0</v>
      </c>
    </row>
    <row r="23" spans="2:2" x14ac:dyDescent="0.3">
      <c r="B23">
        <f>tool!$D$8</f>
        <v>0</v>
      </c>
    </row>
    <row r="24" spans="2:2" x14ac:dyDescent="0.3">
      <c r="B24">
        <f>tool!$D$8</f>
        <v>0</v>
      </c>
    </row>
    <row r="25" spans="2:2" x14ac:dyDescent="0.3">
      <c r="B25">
        <f>tool!$D$8</f>
        <v>0</v>
      </c>
    </row>
    <row r="26" spans="2:2" x14ac:dyDescent="0.3">
      <c r="B26">
        <f>tool!$D$8</f>
        <v>0</v>
      </c>
    </row>
    <row r="27" spans="2:2" x14ac:dyDescent="0.3">
      <c r="B27">
        <f>tool!$D$8</f>
        <v>0</v>
      </c>
    </row>
    <row r="28" spans="2:2" x14ac:dyDescent="0.3">
      <c r="B28">
        <f>tool!$D$8</f>
        <v>0</v>
      </c>
    </row>
    <row r="29" spans="2:2" x14ac:dyDescent="0.3">
      <c r="B29">
        <f>tool!$D$8</f>
        <v>0</v>
      </c>
    </row>
    <row r="30" spans="2:2" x14ac:dyDescent="0.3">
      <c r="B30">
        <f>tool!$D$8</f>
        <v>0</v>
      </c>
    </row>
    <row r="31" spans="2:2" x14ac:dyDescent="0.3">
      <c r="B31">
        <f>tool!$D$8</f>
        <v>0</v>
      </c>
    </row>
    <row r="32" spans="2:2" x14ac:dyDescent="0.3">
      <c r="B32">
        <f>tool!$D$8</f>
        <v>0</v>
      </c>
    </row>
    <row r="33" spans="2:2" x14ac:dyDescent="0.3">
      <c r="B33">
        <f>tool!$D$8</f>
        <v>0</v>
      </c>
    </row>
    <row r="34" spans="2:2" x14ac:dyDescent="0.3">
      <c r="B34">
        <f>tool!$D$8</f>
        <v>0</v>
      </c>
    </row>
    <row r="35" spans="2:2" x14ac:dyDescent="0.3">
      <c r="B35">
        <f>tool!$D$8</f>
        <v>0</v>
      </c>
    </row>
    <row r="36" spans="2:2" x14ac:dyDescent="0.3">
      <c r="B36">
        <f>tool!$D$8</f>
        <v>0</v>
      </c>
    </row>
    <row r="37" spans="2:2" x14ac:dyDescent="0.3">
      <c r="B37">
        <f>tool!$D$8</f>
        <v>0</v>
      </c>
    </row>
    <row r="38" spans="2:2" x14ac:dyDescent="0.3">
      <c r="B38">
        <f>tool!$D$8</f>
        <v>0</v>
      </c>
    </row>
    <row r="39" spans="2:2" x14ac:dyDescent="0.3">
      <c r="B39">
        <f>tool!$D$8</f>
        <v>0</v>
      </c>
    </row>
    <row r="40" spans="2:2" x14ac:dyDescent="0.3">
      <c r="B40">
        <f>tool!$D$8</f>
        <v>0</v>
      </c>
    </row>
    <row r="41" spans="2:2" x14ac:dyDescent="0.3">
      <c r="B41">
        <f>tool!$D$8</f>
        <v>0</v>
      </c>
    </row>
    <row r="42" spans="2:2" x14ac:dyDescent="0.3">
      <c r="B42">
        <f>tool!$D$8</f>
        <v>0</v>
      </c>
    </row>
    <row r="43" spans="2:2" x14ac:dyDescent="0.3">
      <c r="B43">
        <f>tool!$D$8</f>
        <v>0</v>
      </c>
    </row>
    <row r="44" spans="2:2" x14ac:dyDescent="0.3">
      <c r="B44">
        <f>tool!$D$8</f>
        <v>0</v>
      </c>
    </row>
    <row r="45" spans="2:2" x14ac:dyDescent="0.3">
      <c r="B45">
        <f>tool!$D$8</f>
        <v>0</v>
      </c>
    </row>
    <row r="46" spans="2:2" x14ac:dyDescent="0.3">
      <c r="B46">
        <f>tool!$D$8</f>
        <v>0</v>
      </c>
    </row>
    <row r="47" spans="2:2" x14ac:dyDescent="0.3">
      <c r="B47">
        <f>tool!$D$8</f>
        <v>0</v>
      </c>
    </row>
    <row r="48" spans="2:2" x14ac:dyDescent="0.3">
      <c r="B48">
        <f>tool!$D$8</f>
        <v>0</v>
      </c>
    </row>
    <row r="49" spans="2:2" x14ac:dyDescent="0.3">
      <c r="B49">
        <f>tool!$D$8</f>
        <v>0</v>
      </c>
    </row>
    <row r="50" spans="2:2" x14ac:dyDescent="0.3">
      <c r="B50">
        <f>tool!$D$8</f>
        <v>0</v>
      </c>
    </row>
    <row r="51" spans="2:2" x14ac:dyDescent="0.3">
      <c r="B51">
        <f>tool!$D$8</f>
        <v>0</v>
      </c>
    </row>
    <row r="52" spans="2:2" x14ac:dyDescent="0.3">
      <c r="B52">
        <f>tool!$D$8</f>
        <v>0</v>
      </c>
    </row>
    <row r="53" spans="2:2" x14ac:dyDescent="0.3">
      <c r="B53">
        <f>tool!$D$8</f>
        <v>0</v>
      </c>
    </row>
    <row r="54" spans="2:2" x14ac:dyDescent="0.3">
      <c r="B54">
        <f>tool!$D$8</f>
        <v>0</v>
      </c>
    </row>
    <row r="55" spans="2:2" x14ac:dyDescent="0.3">
      <c r="B55">
        <f>tool!$D$8</f>
        <v>0</v>
      </c>
    </row>
    <row r="56" spans="2:2" x14ac:dyDescent="0.3">
      <c r="B56">
        <f>tool!$D$8</f>
        <v>0</v>
      </c>
    </row>
    <row r="57" spans="2:2" x14ac:dyDescent="0.3">
      <c r="B57">
        <f>tool!$D$8</f>
        <v>0</v>
      </c>
    </row>
    <row r="58" spans="2:2" x14ac:dyDescent="0.3">
      <c r="B58">
        <f>tool!$D$8</f>
        <v>0</v>
      </c>
    </row>
    <row r="59" spans="2:2" x14ac:dyDescent="0.3">
      <c r="B59">
        <f>tool!$D$8</f>
        <v>0</v>
      </c>
    </row>
    <row r="60" spans="2:2" x14ac:dyDescent="0.3">
      <c r="B60">
        <f>tool!$D$8</f>
        <v>0</v>
      </c>
    </row>
    <row r="61" spans="2:2" x14ac:dyDescent="0.3">
      <c r="B61">
        <f>tool!$D$8</f>
        <v>0</v>
      </c>
    </row>
    <row r="62" spans="2:2" x14ac:dyDescent="0.3">
      <c r="B62">
        <f>tool!$D$8</f>
        <v>0</v>
      </c>
    </row>
    <row r="63" spans="2:2" x14ac:dyDescent="0.3">
      <c r="B63">
        <f>tool!$D$8</f>
        <v>0</v>
      </c>
    </row>
    <row r="64" spans="2:2" x14ac:dyDescent="0.3">
      <c r="B64">
        <f>tool!$D$8</f>
        <v>0</v>
      </c>
    </row>
    <row r="65" spans="2:2" x14ac:dyDescent="0.3">
      <c r="B65">
        <f>tool!$D$8</f>
        <v>0</v>
      </c>
    </row>
    <row r="66" spans="2:2" x14ac:dyDescent="0.3">
      <c r="B66">
        <f>tool!$D$8</f>
        <v>0</v>
      </c>
    </row>
    <row r="67" spans="2:2" x14ac:dyDescent="0.3">
      <c r="B67">
        <f>tool!$D$8</f>
        <v>0</v>
      </c>
    </row>
    <row r="68" spans="2:2" x14ac:dyDescent="0.3">
      <c r="B68">
        <f>tool!$D$8</f>
        <v>0</v>
      </c>
    </row>
    <row r="69" spans="2:2" x14ac:dyDescent="0.3">
      <c r="B69">
        <f>tool!$D$8</f>
        <v>0</v>
      </c>
    </row>
    <row r="70" spans="2:2" x14ac:dyDescent="0.3">
      <c r="B70">
        <f>tool!$D$8</f>
        <v>0</v>
      </c>
    </row>
    <row r="71" spans="2:2" x14ac:dyDescent="0.3">
      <c r="B71">
        <f>tool!$D$8</f>
        <v>0</v>
      </c>
    </row>
    <row r="72" spans="2:2" x14ac:dyDescent="0.3">
      <c r="B72">
        <f>tool!$D$8</f>
        <v>0</v>
      </c>
    </row>
    <row r="73" spans="2:2" x14ac:dyDescent="0.3">
      <c r="B73">
        <f>tool!$D$8</f>
        <v>0</v>
      </c>
    </row>
    <row r="74" spans="2:2" x14ac:dyDescent="0.3">
      <c r="B74">
        <f>tool!$D$8</f>
        <v>0</v>
      </c>
    </row>
    <row r="75" spans="2:2" x14ac:dyDescent="0.3">
      <c r="B75">
        <f>tool!$D$8</f>
        <v>0</v>
      </c>
    </row>
    <row r="76" spans="2:2" x14ac:dyDescent="0.3">
      <c r="B76">
        <f>tool!$D$8</f>
        <v>0</v>
      </c>
    </row>
    <row r="77" spans="2:2" x14ac:dyDescent="0.3">
      <c r="B77">
        <f>tool!$D$8</f>
        <v>0</v>
      </c>
    </row>
    <row r="78" spans="2:2" x14ac:dyDescent="0.3">
      <c r="B78">
        <f>tool!$D$8</f>
        <v>0</v>
      </c>
    </row>
    <row r="79" spans="2:2" x14ac:dyDescent="0.3">
      <c r="B79">
        <f>tool!$D$8</f>
        <v>0</v>
      </c>
    </row>
    <row r="80" spans="2:2" x14ac:dyDescent="0.3">
      <c r="B80">
        <f>tool!$D$8</f>
        <v>0</v>
      </c>
    </row>
    <row r="81" spans="2:2" x14ac:dyDescent="0.3">
      <c r="B81">
        <f>tool!$D$8</f>
        <v>0</v>
      </c>
    </row>
    <row r="82" spans="2:2" x14ac:dyDescent="0.3">
      <c r="B82">
        <f>tool!$D$8</f>
        <v>0</v>
      </c>
    </row>
    <row r="83" spans="2:2" x14ac:dyDescent="0.3">
      <c r="B83">
        <f>tool!$D$8</f>
        <v>0</v>
      </c>
    </row>
    <row r="84" spans="2:2" x14ac:dyDescent="0.3">
      <c r="B84">
        <f>tool!$D$8</f>
        <v>0</v>
      </c>
    </row>
    <row r="85" spans="2:2" x14ac:dyDescent="0.3">
      <c r="B85">
        <f>tool!$D$8</f>
        <v>0</v>
      </c>
    </row>
    <row r="86" spans="2:2" x14ac:dyDescent="0.3">
      <c r="B86">
        <f>tool!$D$8</f>
        <v>0</v>
      </c>
    </row>
    <row r="87" spans="2:2" x14ac:dyDescent="0.3">
      <c r="B87">
        <f>tool!$D$8</f>
        <v>0</v>
      </c>
    </row>
    <row r="88" spans="2:2" x14ac:dyDescent="0.3">
      <c r="B88">
        <f>tool!$D$8</f>
        <v>0</v>
      </c>
    </row>
    <row r="89" spans="2:2" x14ac:dyDescent="0.3">
      <c r="B89">
        <f>tool!$D$8</f>
        <v>0</v>
      </c>
    </row>
    <row r="90" spans="2:2" x14ac:dyDescent="0.3">
      <c r="B90">
        <f>tool!$D$8</f>
        <v>0</v>
      </c>
    </row>
    <row r="91" spans="2:2" x14ac:dyDescent="0.3">
      <c r="B91">
        <f>tool!$D$8</f>
        <v>0</v>
      </c>
    </row>
    <row r="92" spans="2:2" x14ac:dyDescent="0.3">
      <c r="B92">
        <f>tool!$D$8</f>
        <v>0</v>
      </c>
    </row>
    <row r="93" spans="2:2" x14ac:dyDescent="0.3">
      <c r="B93">
        <f>tool!$D$8</f>
        <v>0</v>
      </c>
    </row>
    <row r="94" spans="2:2" x14ac:dyDescent="0.3">
      <c r="B94">
        <f>tool!$D$8</f>
        <v>0</v>
      </c>
    </row>
    <row r="95" spans="2:2" x14ac:dyDescent="0.3">
      <c r="B95">
        <f>tool!$D$8</f>
        <v>0</v>
      </c>
    </row>
    <row r="96" spans="2:2" x14ac:dyDescent="0.3">
      <c r="B96">
        <f>tool!$D$8</f>
        <v>0</v>
      </c>
    </row>
    <row r="97" spans="2:2" x14ac:dyDescent="0.3">
      <c r="B97">
        <f>tool!$D$8</f>
        <v>0</v>
      </c>
    </row>
    <row r="98" spans="2:2" x14ac:dyDescent="0.3">
      <c r="B98">
        <f>tool!$D$8</f>
        <v>0</v>
      </c>
    </row>
    <row r="99" spans="2:2" x14ac:dyDescent="0.3">
      <c r="B99">
        <f>tool!$D$8</f>
        <v>0</v>
      </c>
    </row>
    <row r="100" spans="2:2" x14ac:dyDescent="0.3">
      <c r="B100">
        <f>tool!$D$8</f>
        <v>0</v>
      </c>
    </row>
    <row r="101" spans="2:2" x14ac:dyDescent="0.3">
      <c r="B101">
        <f>tool!$D$8</f>
        <v>0</v>
      </c>
    </row>
    <row r="102" spans="2:2" x14ac:dyDescent="0.3">
      <c r="B102">
        <f>tool!$D$8</f>
        <v>0</v>
      </c>
    </row>
    <row r="103" spans="2:2" x14ac:dyDescent="0.3">
      <c r="B103">
        <f>tool!$D$8</f>
        <v>0</v>
      </c>
    </row>
    <row r="104" spans="2:2" x14ac:dyDescent="0.3">
      <c r="B104">
        <f>tool!$D$8</f>
        <v>0</v>
      </c>
    </row>
    <row r="105" spans="2:2" x14ac:dyDescent="0.3">
      <c r="B105">
        <f>tool!$D$8</f>
        <v>0</v>
      </c>
    </row>
    <row r="106" spans="2:2" x14ac:dyDescent="0.3">
      <c r="B106">
        <f>tool!$D$8</f>
        <v>0</v>
      </c>
    </row>
    <row r="107" spans="2:2" x14ac:dyDescent="0.3">
      <c r="B107">
        <f>tool!$D$8</f>
        <v>0</v>
      </c>
    </row>
    <row r="108" spans="2:2" x14ac:dyDescent="0.3">
      <c r="B108">
        <f>tool!$D$8</f>
        <v>0</v>
      </c>
    </row>
    <row r="109" spans="2:2" x14ac:dyDescent="0.3">
      <c r="B109">
        <f>tool!$D$8</f>
        <v>0</v>
      </c>
    </row>
    <row r="110" spans="2:2" x14ac:dyDescent="0.3">
      <c r="B110">
        <f>tool!$D$8</f>
        <v>0</v>
      </c>
    </row>
    <row r="111" spans="2:2" x14ac:dyDescent="0.3">
      <c r="B111">
        <f>tool!$D$8</f>
        <v>0</v>
      </c>
    </row>
    <row r="112" spans="2:2" x14ac:dyDescent="0.3">
      <c r="B112">
        <f>tool!$D$8</f>
        <v>0</v>
      </c>
    </row>
    <row r="113" spans="2:2" x14ac:dyDescent="0.3">
      <c r="B113">
        <f>tool!$D$8</f>
        <v>0</v>
      </c>
    </row>
    <row r="114" spans="2:2" x14ac:dyDescent="0.3">
      <c r="B114">
        <f>tool!$D$8</f>
        <v>0</v>
      </c>
    </row>
    <row r="115" spans="2:2" x14ac:dyDescent="0.3">
      <c r="B115">
        <f>tool!$D$8</f>
        <v>0</v>
      </c>
    </row>
    <row r="116" spans="2:2" x14ac:dyDescent="0.3">
      <c r="B116">
        <f>tool!$D$8</f>
        <v>0</v>
      </c>
    </row>
    <row r="117" spans="2:2" x14ac:dyDescent="0.3">
      <c r="B117">
        <f>tool!$D$8</f>
        <v>0</v>
      </c>
    </row>
    <row r="118" spans="2:2" x14ac:dyDescent="0.3">
      <c r="B118">
        <f>tool!$D$8</f>
        <v>0</v>
      </c>
    </row>
    <row r="119" spans="2:2" x14ac:dyDescent="0.3">
      <c r="B119">
        <f>tool!$D$8</f>
        <v>0</v>
      </c>
    </row>
    <row r="120" spans="2:2" x14ac:dyDescent="0.3">
      <c r="B120">
        <f>tool!$D$8</f>
        <v>0</v>
      </c>
    </row>
    <row r="121" spans="2:2" x14ac:dyDescent="0.3">
      <c r="B121">
        <f>tool!$D$8</f>
        <v>0</v>
      </c>
    </row>
    <row r="122" spans="2:2" x14ac:dyDescent="0.3">
      <c r="B122">
        <f>tool!$D$8</f>
        <v>0</v>
      </c>
    </row>
    <row r="123" spans="2:2" x14ac:dyDescent="0.3">
      <c r="B123">
        <f>tool!$D$8</f>
        <v>0</v>
      </c>
    </row>
    <row r="124" spans="2:2" x14ac:dyDescent="0.3">
      <c r="B124">
        <f>tool!$D$8</f>
        <v>0</v>
      </c>
    </row>
    <row r="125" spans="2:2" x14ac:dyDescent="0.3">
      <c r="B125">
        <f>tool!$D$8</f>
        <v>0</v>
      </c>
    </row>
    <row r="126" spans="2:2" x14ac:dyDescent="0.3">
      <c r="B126">
        <f>tool!$D$8</f>
        <v>0</v>
      </c>
    </row>
    <row r="127" spans="2:2" x14ac:dyDescent="0.3">
      <c r="B127">
        <f>tool!$D$8</f>
        <v>0</v>
      </c>
    </row>
    <row r="128" spans="2:2" x14ac:dyDescent="0.3">
      <c r="B128">
        <f>tool!$D$8</f>
        <v>0</v>
      </c>
    </row>
    <row r="129" spans="2:2" x14ac:dyDescent="0.3">
      <c r="B129">
        <f>tool!$D$8</f>
        <v>0</v>
      </c>
    </row>
    <row r="130" spans="2:2" x14ac:dyDescent="0.3">
      <c r="B130">
        <f>tool!$D$8</f>
        <v>0</v>
      </c>
    </row>
    <row r="131" spans="2:2" x14ac:dyDescent="0.3">
      <c r="B131">
        <f>tool!$D$8</f>
        <v>0</v>
      </c>
    </row>
    <row r="132" spans="2:2" x14ac:dyDescent="0.3">
      <c r="B132">
        <f>tool!$D$8</f>
        <v>0</v>
      </c>
    </row>
    <row r="133" spans="2:2" x14ac:dyDescent="0.3">
      <c r="B133">
        <f>tool!$D$8</f>
        <v>0</v>
      </c>
    </row>
    <row r="134" spans="2:2" x14ac:dyDescent="0.3">
      <c r="B134">
        <f>tool!$D$8</f>
        <v>0</v>
      </c>
    </row>
    <row r="135" spans="2:2" x14ac:dyDescent="0.3">
      <c r="B135">
        <f>tool!$D$8</f>
        <v>0</v>
      </c>
    </row>
    <row r="136" spans="2:2" x14ac:dyDescent="0.3">
      <c r="B136">
        <f>tool!$D$8</f>
        <v>0</v>
      </c>
    </row>
    <row r="137" spans="2:2" x14ac:dyDescent="0.3">
      <c r="B137">
        <f>tool!$D$8</f>
        <v>0</v>
      </c>
    </row>
    <row r="138" spans="2:2" x14ac:dyDescent="0.3">
      <c r="B138">
        <f>tool!$D$8</f>
        <v>0</v>
      </c>
    </row>
    <row r="139" spans="2:2" x14ac:dyDescent="0.3">
      <c r="B139">
        <f>tool!$D$8</f>
        <v>0</v>
      </c>
    </row>
    <row r="140" spans="2:2" x14ac:dyDescent="0.3">
      <c r="B140">
        <f>tool!$D$8</f>
        <v>0</v>
      </c>
    </row>
    <row r="141" spans="2:2" x14ac:dyDescent="0.3">
      <c r="B141">
        <f>tool!$D$8</f>
        <v>0</v>
      </c>
    </row>
    <row r="142" spans="2:2" x14ac:dyDescent="0.3">
      <c r="B142">
        <f>tool!$D$8</f>
        <v>0</v>
      </c>
    </row>
    <row r="143" spans="2:2" x14ac:dyDescent="0.3">
      <c r="B143">
        <f>tool!$D$8</f>
        <v>0</v>
      </c>
    </row>
    <row r="144" spans="2:2" x14ac:dyDescent="0.3">
      <c r="B144">
        <f>tool!$D$8</f>
        <v>0</v>
      </c>
    </row>
    <row r="145" spans="2:2" x14ac:dyDescent="0.3">
      <c r="B145">
        <f>tool!$D$8</f>
        <v>0</v>
      </c>
    </row>
    <row r="146" spans="2:2" x14ac:dyDescent="0.3">
      <c r="B146">
        <f>tool!$D$8</f>
        <v>0</v>
      </c>
    </row>
    <row r="147" spans="2:2" x14ac:dyDescent="0.3">
      <c r="B147">
        <f>tool!$D$8</f>
        <v>0</v>
      </c>
    </row>
    <row r="148" spans="2:2" x14ac:dyDescent="0.3">
      <c r="B148">
        <f>tool!$D$8</f>
        <v>0</v>
      </c>
    </row>
    <row r="149" spans="2:2" x14ac:dyDescent="0.3">
      <c r="B149">
        <f>tool!$D$8</f>
        <v>0</v>
      </c>
    </row>
    <row r="150" spans="2:2" x14ac:dyDescent="0.3">
      <c r="B150">
        <f>tool!$D$8</f>
        <v>0</v>
      </c>
    </row>
    <row r="151" spans="2:2" x14ac:dyDescent="0.3">
      <c r="B151">
        <f>tool!$D$8</f>
        <v>0</v>
      </c>
    </row>
    <row r="152" spans="2:2" x14ac:dyDescent="0.3">
      <c r="B152">
        <f>tool!$D$8</f>
        <v>0</v>
      </c>
    </row>
    <row r="153" spans="2:2" x14ac:dyDescent="0.3">
      <c r="B153">
        <f>tool!$D$8</f>
        <v>0</v>
      </c>
    </row>
    <row r="154" spans="2:2" x14ac:dyDescent="0.3">
      <c r="B154">
        <f>tool!$D$8</f>
        <v>0</v>
      </c>
    </row>
    <row r="155" spans="2:2" x14ac:dyDescent="0.3">
      <c r="B155">
        <f>tool!$D$8</f>
        <v>0</v>
      </c>
    </row>
    <row r="156" spans="2:2" x14ac:dyDescent="0.3">
      <c r="B156">
        <f>tool!$D$8</f>
        <v>0</v>
      </c>
    </row>
    <row r="157" spans="2:2" x14ac:dyDescent="0.3">
      <c r="B157">
        <f>tool!$D$8</f>
        <v>0</v>
      </c>
    </row>
    <row r="158" spans="2:2" x14ac:dyDescent="0.3">
      <c r="B158">
        <f>tool!$D$8</f>
        <v>0</v>
      </c>
    </row>
    <row r="159" spans="2:2" x14ac:dyDescent="0.3">
      <c r="B159">
        <f>tool!$D$8</f>
        <v>0</v>
      </c>
    </row>
    <row r="160" spans="2:2" x14ac:dyDescent="0.3">
      <c r="B160">
        <f>tool!$D$8</f>
        <v>0</v>
      </c>
    </row>
    <row r="161" spans="2:2" x14ac:dyDescent="0.3">
      <c r="B161">
        <f>tool!$D$8</f>
        <v>0</v>
      </c>
    </row>
    <row r="162" spans="2:2" x14ac:dyDescent="0.3">
      <c r="B162">
        <f>tool!$D$8</f>
        <v>0</v>
      </c>
    </row>
    <row r="163" spans="2:2" x14ac:dyDescent="0.3">
      <c r="B163">
        <f>tool!$D$8</f>
        <v>0</v>
      </c>
    </row>
    <row r="164" spans="2:2" x14ac:dyDescent="0.3">
      <c r="B164">
        <f>tool!$D$8</f>
        <v>0</v>
      </c>
    </row>
    <row r="165" spans="2:2" x14ac:dyDescent="0.3">
      <c r="B165">
        <f>tool!$D$8</f>
        <v>0</v>
      </c>
    </row>
    <row r="166" spans="2:2" x14ac:dyDescent="0.3">
      <c r="B166">
        <f>tool!$D$8</f>
        <v>0</v>
      </c>
    </row>
    <row r="167" spans="2:2" x14ac:dyDescent="0.3">
      <c r="B167">
        <f>tool!$D$8</f>
        <v>0</v>
      </c>
    </row>
    <row r="168" spans="2:2" x14ac:dyDescent="0.3">
      <c r="B168">
        <f>tool!$D$8</f>
        <v>0</v>
      </c>
    </row>
    <row r="169" spans="2:2" x14ac:dyDescent="0.3">
      <c r="B169">
        <f>tool!$D$8</f>
        <v>0</v>
      </c>
    </row>
    <row r="170" spans="2:2" x14ac:dyDescent="0.3">
      <c r="B170">
        <f>tool!$D$8</f>
        <v>0</v>
      </c>
    </row>
    <row r="171" spans="2:2" x14ac:dyDescent="0.3">
      <c r="B171">
        <f>tool!$D$8</f>
        <v>0</v>
      </c>
    </row>
    <row r="172" spans="2:2" x14ac:dyDescent="0.3">
      <c r="B172">
        <f>tool!$D$8</f>
        <v>0</v>
      </c>
    </row>
    <row r="173" spans="2:2" x14ac:dyDescent="0.3">
      <c r="B173">
        <f>tool!$D$8</f>
        <v>0</v>
      </c>
    </row>
    <row r="174" spans="2:2" x14ac:dyDescent="0.3">
      <c r="B174">
        <f>tool!$D$8</f>
        <v>0</v>
      </c>
    </row>
    <row r="175" spans="2:2" x14ac:dyDescent="0.3">
      <c r="B175">
        <f>tool!$D$8</f>
        <v>0</v>
      </c>
    </row>
    <row r="176" spans="2:2" x14ac:dyDescent="0.3">
      <c r="B176">
        <f>tool!$D$8</f>
        <v>0</v>
      </c>
    </row>
    <row r="177" spans="2:2" x14ac:dyDescent="0.3">
      <c r="B177">
        <f>tool!$D$8</f>
        <v>0</v>
      </c>
    </row>
    <row r="178" spans="2:2" x14ac:dyDescent="0.3">
      <c r="B178">
        <f>tool!$D$8</f>
        <v>0</v>
      </c>
    </row>
    <row r="179" spans="2:2" x14ac:dyDescent="0.3">
      <c r="B179">
        <f>tool!$D$8</f>
        <v>0</v>
      </c>
    </row>
    <row r="180" spans="2:2" x14ac:dyDescent="0.3">
      <c r="B180">
        <f>tool!$D$8</f>
        <v>0</v>
      </c>
    </row>
    <row r="181" spans="2:2" x14ac:dyDescent="0.3">
      <c r="B181">
        <f>tool!$D$8</f>
        <v>0</v>
      </c>
    </row>
    <row r="182" spans="2:2" x14ac:dyDescent="0.3">
      <c r="B182">
        <f>tool!$D$8</f>
        <v>0</v>
      </c>
    </row>
    <row r="183" spans="2:2" x14ac:dyDescent="0.3">
      <c r="B183">
        <f>tool!$D$8</f>
        <v>0</v>
      </c>
    </row>
    <row r="184" spans="2:2" x14ac:dyDescent="0.3">
      <c r="B184">
        <f>tool!$D$8</f>
        <v>0</v>
      </c>
    </row>
    <row r="185" spans="2:2" x14ac:dyDescent="0.3">
      <c r="B185">
        <f>tool!$D$8</f>
        <v>0</v>
      </c>
    </row>
    <row r="186" spans="2:2" x14ac:dyDescent="0.3">
      <c r="B186">
        <f>tool!$D$8</f>
        <v>0</v>
      </c>
    </row>
    <row r="187" spans="2:2" x14ac:dyDescent="0.3">
      <c r="B187">
        <f>tool!$D$8</f>
        <v>0</v>
      </c>
    </row>
    <row r="188" spans="2:2" x14ac:dyDescent="0.3">
      <c r="B188">
        <f>tool!$D$8</f>
        <v>0</v>
      </c>
    </row>
    <row r="189" spans="2:2" x14ac:dyDescent="0.3">
      <c r="B189">
        <f>tool!$D$8</f>
        <v>0</v>
      </c>
    </row>
    <row r="190" spans="2:2" x14ac:dyDescent="0.3">
      <c r="B190">
        <f>tool!$D$8</f>
        <v>0</v>
      </c>
    </row>
    <row r="191" spans="2:2" x14ac:dyDescent="0.3">
      <c r="B191">
        <f>tool!$D$8</f>
        <v>0</v>
      </c>
    </row>
    <row r="192" spans="2:2" x14ac:dyDescent="0.3">
      <c r="B192">
        <f>tool!$D$8</f>
        <v>0</v>
      </c>
    </row>
    <row r="193" spans="2:2" x14ac:dyDescent="0.3">
      <c r="B193">
        <f>tool!$D$8</f>
        <v>0</v>
      </c>
    </row>
    <row r="194" spans="2:2" x14ac:dyDescent="0.3">
      <c r="B194">
        <f>tool!$D$8</f>
        <v>0</v>
      </c>
    </row>
    <row r="195" spans="2:2" x14ac:dyDescent="0.3">
      <c r="B195">
        <f>tool!$D$8</f>
        <v>0</v>
      </c>
    </row>
    <row r="196" spans="2:2" x14ac:dyDescent="0.3">
      <c r="B196">
        <f>tool!$D$8</f>
        <v>0</v>
      </c>
    </row>
    <row r="197" spans="2:2" x14ac:dyDescent="0.3">
      <c r="B197">
        <f>tool!$D$8</f>
        <v>0</v>
      </c>
    </row>
    <row r="198" spans="2:2" x14ac:dyDescent="0.3">
      <c r="B198">
        <f>tool!$D$8</f>
        <v>0</v>
      </c>
    </row>
    <row r="199" spans="2:2" x14ac:dyDescent="0.3">
      <c r="B199">
        <f>tool!$D$8</f>
        <v>0</v>
      </c>
    </row>
    <row r="200" spans="2:2" x14ac:dyDescent="0.3">
      <c r="B200">
        <f>tool!$D$8</f>
        <v>0</v>
      </c>
    </row>
    <row r="201" spans="2:2" x14ac:dyDescent="0.3">
      <c r="B201">
        <f>tool!$D$8</f>
        <v>0</v>
      </c>
    </row>
    <row r="202" spans="2:2" x14ac:dyDescent="0.3">
      <c r="B202">
        <f>tool!$D$8</f>
        <v>0</v>
      </c>
    </row>
    <row r="203" spans="2:2" x14ac:dyDescent="0.3">
      <c r="B203">
        <f>tool!$D$8</f>
        <v>0</v>
      </c>
    </row>
    <row r="204" spans="2:2" x14ac:dyDescent="0.3">
      <c r="B204">
        <f>tool!$D$8</f>
        <v>0</v>
      </c>
    </row>
    <row r="205" spans="2:2" x14ac:dyDescent="0.3">
      <c r="B205">
        <f>tool!$D$8</f>
        <v>0</v>
      </c>
    </row>
    <row r="206" spans="2:2" x14ac:dyDescent="0.3">
      <c r="B206">
        <f>tool!$D$8</f>
        <v>0</v>
      </c>
    </row>
    <row r="207" spans="2:2" x14ac:dyDescent="0.3">
      <c r="B207">
        <f>tool!$D$8</f>
        <v>0</v>
      </c>
    </row>
    <row r="208" spans="2:2" x14ac:dyDescent="0.3">
      <c r="B208">
        <f>tool!$D$8</f>
        <v>0</v>
      </c>
    </row>
    <row r="209" spans="2:2" x14ac:dyDescent="0.3">
      <c r="B209">
        <f>tool!$D$8</f>
        <v>0</v>
      </c>
    </row>
    <row r="210" spans="2:2" x14ac:dyDescent="0.3">
      <c r="B210">
        <f>tool!$D$8</f>
        <v>0</v>
      </c>
    </row>
    <row r="211" spans="2:2" x14ac:dyDescent="0.3">
      <c r="B211">
        <f>tool!$D$8</f>
        <v>0</v>
      </c>
    </row>
    <row r="212" spans="2:2" x14ac:dyDescent="0.3">
      <c r="B212">
        <f>tool!$D$8</f>
        <v>0</v>
      </c>
    </row>
    <row r="213" spans="2:2" x14ac:dyDescent="0.3">
      <c r="B213">
        <f>tool!$D$8</f>
        <v>0</v>
      </c>
    </row>
    <row r="214" spans="2:2" x14ac:dyDescent="0.3">
      <c r="B214">
        <f>tool!$D$8</f>
        <v>0</v>
      </c>
    </row>
    <row r="215" spans="2:2" x14ac:dyDescent="0.3">
      <c r="B215">
        <f>tool!$D$8</f>
        <v>0</v>
      </c>
    </row>
    <row r="216" spans="2:2" x14ac:dyDescent="0.3">
      <c r="B216">
        <f>tool!$D$8</f>
        <v>0</v>
      </c>
    </row>
    <row r="217" spans="2:2" x14ac:dyDescent="0.3">
      <c r="B217">
        <f>tool!$D$8</f>
        <v>0</v>
      </c>
    </row>
    <row r="218" spans="2:2" x14ac:dyDescent="0.3">
      <c r="B218">
        <f>tool!$D$8</f>
        <v>0</v>
      </c>
    </row>
    <row r="219" spans="2:2" x14ac:dyDescent="0.3">
      <c r="B219">
        <f>tool!$D$8</f>
        <v>0</v>
      </c>
    </row>
    <row r="220" spans="2:2" x14ac:dyDescent="0.3">
      <c r="B220">
        <f>tool!$D$8</f>
        <v>0</v>
      </c>
    </row>
    <row r="221" spans="2:2" x14ac:dyDescent="0.3">
      <c r="B221">
        <f>tool!$D$8</f>
        <v>0</v>
      </c>
    </row>
    <row r="222" spans="2:2" x14ac:dyDescent="0.3">
      <c r="B222">
        <f>tool!$D$8</f>
        <v>0</v>
      </c>
    </row>
    <row r="223" spans="2:2" x14ac:dyDescent="0.3">
      <c r="B223">
        <f>tool!$D$8</f>
        <v>0</v>
      </c>
    </row>
    <row r="224" spans="2:2" x14ac:dyDescent="0.3">
      <c r="B224">
        <f>tool!$D$8</f>
        <v>0</v>
      </c>
    </row>
    <row r="225" spans="2:2" x14ac:dyDescent="0.3">
      <c r="B225">
        <f>tool!$D$8</f>
        <v>0</v>
      </c>
    </row>
    <row r="226" spans="2:2" x14ac:dyDescent="0.3">
      <c r="B226">
        <f>tool!$D$8</f>
        <v>0</v>
      </c>
    </row>
    <row r="227" spans="2:2" x14ac:dyDescent="0.3">
      <c r="B227">
        <f>tool!$D$8</f>
        <v>0</v>
      </c>
    </row>
    <row r="228" spans="2:2" x14ac:dyDescent="0.3">
      <c r="B228">
        <f>tool!$D$8</f>
        <v>0</v>
      </c>
    </row>
    <row r="229" spans="2:2" x14ac:dyDescent="0.3">
      <c r="B229">
        <f>tool!$D$8</f>
        <v>0</v>
      </c>
    </row>
    <row r="230" spans="2:2" x14ac:dyDescent="0.3">
      <c r="B230">
        <f>tool!$D$8</f>
        <v>0</v>
      </c>
    </row>
    <row r="231" spans="2:2" x14ac:dyDescent="0.3">
      <c r="B231">
        <f>tool!$D$8</f>
        <v>0</v>
      </c>
    </row>
    <row r="232" spans="2:2" x14ac:dyDescent="0.3">
      <c r="B232">
        <f>tool!$D$8</f>
        <v>0</v>
      </c>
    </row>
    <row r="233" spans="2:2" x14ac:dyDescent="0.3">
      <c r="B233">
        <f>tool!$D$8</f>
        <v>0</v>
      </c>
    </row>
    <row r="234" spans="2:2" x14ac:dyDescent="0.3">
      <c r="B234">
        <f>tool!$D$8</f>
        <v>0</v>
      </c>
    </row>
    <row r="235" spans="2:2" x14ac:dyDescent="0.3">
      <c r="B235">
        <f>tool!$D$8</f>
        <v>0</v>
      </c>
    </row>
    <row r="236" spans="2:2" x14ac:dyDescent="0.3">
      <c r="B236">
        <f>tool!$D$8</f>
        <v>0</v>
      </c>
    </row>
    <row r="237" spans="2:2" x14ac:dyDescent="0.3">
      <c r="B237">
        <f>tool!$D$8</f>
        <v>0</v>
      </c>
    </row>
    <row r="238" spans="2:2" x14ac:dyDescent="0.3">
      <c r="B238">
        <f>tool!$D$8</f>
        <v>0</v>
      </c>
    </row>
    <row r="239" spans="2:2" x14ac:dyDescent="0.3">
      <c r="B239">
        <f>tool!$D$8</f>
        <v>0</v>
      </c>
    </row>
    <row r="240" spans="2:2" x14ac:dyDescent="0.3">
      <c r="B240">
        <f>tool!$D$8</f>
        <v>0</v>
      </c>
    </row>
    <row r="241" spans="2:2" x14ac:dyDescent="0.3">
      <c r="B241">
        <f>tool!$D$8</f>
        <v>0</v>
      </c>
    </row>
    <row r="242" spans="2:2" x14ac:dyDescent="0.3">
      <c r="B242">
        <f>tool!$D$8</f>
        <v>0</v>
      </c>
    </row>
    <row r="243" spans="2:2" x14ac:dyDescent="0.3">
      <c r="B243">
        <f>tool!$D$8</f>
        <v>0</v>
      </c>
    </row>
    <row r="244" spans="2:2" x14ac:dyDescent="0.3">
      <c r="B244">
        <f>tool!$D$8</f>
        <v>0</v>
      </c>
    </row>
    <row r="245" spans="2:2" x14ac:dyDescent="0.3">
      <c r="B245">
        <f>tool!$D$8</f>
        <v>0</v>
      </c>
    </row>
    <row r="246" spans="2:2" x14ac:dyDescent="0.3">
      <c r="B246">
        <f>tool!$D$8</f>
        <v>0</v>
      </c>
    </row>
    <row r="247" spans="2:2" x14ac:dyDescent="0.3">
      <c r="B247">
        <f>tool!$D$8</f>
        <v>0</v>
      </c>
    </row>
    <row r="248" spans="2:2" x14ac:dyDescent="0.3">
      <c r="B248">
        <f>tool!$D$8</f>
        <v>0</v>
      </c>
    </row>
    <row r="249" spans="2:2" x14ac:dyDescent="0.3">
      <c r="B249">
        <f>tool!$D$8</f>
        <v>0</v>
      </c>
    </row>
    <row r="250" spans="2:2" x14ac:dyDescent="0.3">
      <c r="B250">
        <f>tool!$D$8</f>
        <v>0</v>
      </c>
    </row>
    <row r="251" spans="2:2" x14ac:dyDescent="0.3">
      <c r="B251">
        <f>tool!$D$8</f>
        <v>0</v>
      </c>
    </row>
    <row r="252" spans="2:2" x14ac:dyDescent="0.3">
      <c r="B252">
        <f>tool!$D$8</f>
        <v>0</v>
      </c>
    </row>
    <row r="253" spans="2:2" x14ac:dyDescent="0.3">
      <c r="B253">
        <f>tool!$D$8</f>
        <v>0</v>
      </c>
    </row>
    <row r="254" spans="2:2" x14ac:dyDescent="0.3">
      <c r="B254">
        <f>tool!$D$8</f>
        <v>0</v>
      </c>
    </row>
    <row r="255" spans="2:2" x14ac:dyDescent="0.3">
      <c r="B255">
        <f>tool!$D$8</f>
        <v>0</v>
      </c>
    </row>
    <row r="256" spans="2:2" x14ac:dyDescent="0.3">
      <c r="B256">
        <f>tool!$D$8</f>
        <v>0</v>
      </c>
    </row>
    <row r="257" spans="2:2" x14ac:dyDescent="0.3">
      <c r="B257">
        <f>tool!$D$8</f>
        <v>0</v>
      </c>
    </row>
    <row r="258" spans="2:2" x14ac:dyDescent="0.3">
      <c r="B258">
        <f>tool!$D$8</f>
        <v>0</v>
      </c>
    </row>
    <row r="259" spans="2:2" x14ac:dyDescent="0.3">
      <c r="B259">
        <f>tool!$D$8</f>
        <v>0</v>
      </c>
    </row>
    <row r="260" spans="2:2" x14ac:dyDescent="0.3">
      <c r="B260">
        <f>tool!$D$8</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ABB54-73F7-431C-BEB5-985AAEEC31F5}">
  <sheetPr codeName="Sheet3"/>
  <dimension ref="A1:D100"/>
  <sheetViews>
    <sheetView topLeftCell="A56" zoomScale="70" zoomScaleNormal="70" workbookViewId="0">
      <selection activeCell="B103" sqref="B103"/>
    </sheetView>
  </sheetViews>
  <sheetFormatPr defaultRowHeight="14.4" x14ac:dyDescent="0.3"/>
  <cols>
    <col min="1" max="1" width="22.109375" customWidth="1"/>
    <col min="2" max="2" width="181" customWidth="1"/>
  </cols>
  <sheetData>
    <row r="1" spans="1:4" x14ac:dyDescent="0.3">
      <c r="A1" t="s">
        <v>313</v>
      </c>
    </row>
    <row r="2" spans="1:4" x14ac:dyDescent="0.3">
      <c r="A2" t="s">
        <v>314</v>
      </c>
      <c r="B2">
        <f>MAX(D6:D14)</f>
        <v>1</v>
      </c>
    </row>
    <row r="4" spans="1:4" x14ac:dyDescent="0.3">
      <c r="A4" t="s">
        <v>315</v>
      </c>
    </row>
    <row r="5" spans="1:4" x14ac:dyDescent="0.3">
      <c r="A5" t="s">
        <v>61</v>
      </c>
      <c r="B5" t="s">
        <v>316</v>
      </c>
      <c r="C5" t="s">
        <v>317</v>
      </c>
      <c r="D5" t="s">
        <v>318</v>
      </c>
    </row>
    <row r="6" spans="1:4" x14ac:dyDescent="0.3">
      <c r="A6" s="33">
        <v>45135</v>
      </c>
      <c r="B6" t="s">
        <v>319</v>
      </c>
      <c r="C6" t="s">
        <v>320</v>
      </c>
      <c r="D6">
        <v>0.1</v>
      </c>
    </row>
    <row r="7" spans="1:4" ht="28.8" x14ac:dyDescent="0.3">
      <c r="A7" s="94">
        <v>45245</v>
      </c>
      <c r="B7" s="61" t="s">
        <v>401</v>
      </c>
      <c r="C7" t="s">
        <v>321</v>
      </c>
      <c r="D7">
        <v>1</v>
      </c>
    </row>
    <row r="8" spans="1:4" x14ac:dyDescent="0.3">
      <c r="A8" s="33">
        <v>45575</v>
      </c>
      <c r="B8" t="s">
        <v>485</v>
      </c>
      <c r="C8" t="s">
        <v>321</v>
      </c>
      <c r="D8">
        <v>1</v>
      </c>
    </row>
    <row r="12" spans="1:4" x14ac:dyDescent="0.3">
      <c r="A12" t="s">
        <v>486</v>
      </c>
      <c r="B12" t="s">
        <v>487</v>
      </c>
    </row>
    <row r="16" spans="1:4" x14ac:dyDescent="0.3">
      <c r="A16" s="54" t="s">
        <v>322</v>
      </c>
      <c r="B16" s="55"/>
    </row>
    <row r="17" spans="1:2" x14ac:dyDescent="0.3">
      <c r="A17" s="6" t="s">
        <v>323</v>
      </c>
      <c r="B17" s="6" t="s">
        <v>324</v>
      </c>
    </row>
    <row r="18" spans="1:2" x14ac:dyDescent="0.3">
      <c r="A18" s="45" t="s">
        <v>325</v>
      </c>
      <c r="B18" s="44" t="s">
        <v>326</v>
      </c>
    </row>
    <row r="19" spans="1:2" x14ac:dyDescent="0.3">
      <c r="A19" s="47"/>
      <c r="B19" s="50" t="s">
        <v>327</v>
      </c>
    </row>
    <row r="20" spans="1:2" x14ac:dyDescent="0.3">
      <c r="A20" s="47"/>
      <c r="B20" s="51" t="s">
        <v>328</v>
      </c>
    </row>
    <row r="21" spans="1:2" ht="28.8" x14ac:dyDescent="0.3">
      <c r="A21" s="47"/>
      <c r="B21" s="70" t="s">
        <v>329</v>
      </c>
    </row>
    <row r="22" spans="1:2" x14ac:dyDescent="0.3">
      <c r="A22" s="47"/>
      <c r="B22" s="51" t="s">
        <v>330</v>
      </c>
    </row>
    <row r="23" spans="1:2" x14ac:dyDescent="0.3">
      <c r="A23" s="47"/>
      <c r="B23" s="52" t="s">
        <v>331</v>
      </c>
    </row>
    <row r="24" spans="1:2" x14ac:dyDescent="0.3">
      <c r="A24" s="47"/>
      <c r="B24" s="52" t="s">
        <v>332</v>
      </c>
    </row>
    <row r="25" spans="1:2" x14ac:dyDescent="0.3">
      <c r="A25" s="47"/>
      <c r="B25" s="52" t="s">
        <v>333</v>
      </c>
    </row>
    <row r="26" spans="1:2" x14ac:dyDescent="0.3">
      <c r="A26" s="47"/>
      <c r="B26" s="52" t="s">
        <v>334</v>
      </c>
    </row>
    <row r="27" spans="1:2" ht="28.95" customHeight="1" x14ac:dyDescent="0.3">
      <c r="A27" s="47"/>
      <c r="B27" s="56" t="s">
        <v>335</v>
      </c>
    </row>
    <row r="28" spans="1:2" ht="28.8" x14ac:dyDescent="0.3">
      <c r="A28" s="47"/>
      <c r="B28" s="56" t="s">
        <v>336</v>
      </c>
    </row>
    <row r="29" spans="1:2" x14ac:dyDescent="0.3">
      <c r="A29" s="49"/>
      <c r="B29" s="53" t="s">
        <v>337</v>
      </c>
    </row>
    <row r="30" spans="1:2" x14ac:dyDescent="0.3">
      <c r="A30" s="6" t="s">
        <v>338</v>
      </c>
      <c r="B30" s="6" t="s">
        <v>339</v>
      </c>
    </row>
    <row r="31" spans="1:2" x14ac:dyDescent="0.3">
      <c r="A31" s="6" t="s">
        <v>340</v>
      </c>
      <c r="B31" s="6" t="s">
        <v>341</v>
      </c>
    </row>
    <row r="33" spans="1:2" x14ac:dyDescent="0.3">
      <c r="A33" s="54" t="s">
        <v>342</v>
      </c>
      <c r="B33" s="55"/>
    </row>
    <row r="34" spans="1:2" x14ac:dyDescent="0.3">
      <c r="A34" s="45" t="s">
        <v>59</v>
      </c>
      <c r="B34" s="46" t="s">
        <v>343</v>
      </c>
    </row>
    <row r="35" spans="1:2" x14ac:dyDescent="0.3">
      <c r="B35" t="s">
        <v>344</v>
      </c>
    </row>
    <row r="36" spans="1:2" x14ac:dyDescent="0.3">
      <c r="A36" s="47"/>
      <c r="B36" s="48" t="s">
        <v>345</v>
      </c>
    </row>
    <row r="37" spans="1:2" x14ac:dyDescent="0.3">
      <c r="A37" s="45" t="s">
        <v>346</v>
      </c>
      <c r="B37" s="46" t="s">
        <v>347</v>
      </c>
    </row>
    <row r="38" spans="1:2" x14ac:dyDescent="0.3">
      <c r="A38" s="47"/>
      <c r="B38" s="48" t="s">
        <v>348</v>
      </c>
    </row>
    <row r="39" spans="1:2" x14ac:dyDescent="0.3">
      <c r="A39" s="47"/>
      <c r="B39" s="48" t="s">
        <v>349</v>
      </c>
    </row>
    <row r="40" spans="1:2" x14ac:dyDescent="0.3">
      <c r="A40" s="47"/>
      <c r="B40" s="48" t="s">
        <v>350</v>
      </c>
    </row>
    <row r="41" spans="1:2" x14ac:dyDescent="0.3">
      <c r="A41" s="47"/>
      <c r="B41" s="48" t="s">
        <v>351</v>
      </c>
    </row>
    <row r="42" spans="1:2" x14ac:dyDescent="0.3">
      <c r="A42" s="47"/>
      <c r="B42" s="48" t="s">
        <v>352</v>
      </c>
    </row>
    <row r="43" spans="1:2" x14ac:dyDescent="0.3">
      <c r="A43" s="47"/>
      <c r="B43" s="79" t="s">
        <v>353</v>
      </c>
    </row>
    <row r="44" spans="1:2" x14ac:dyDescent="0.3">
      <c r="A44" s="49"/>
      <c r="B44" s="91" t="s">
        <v>354</v>
      </c>
    </row>
    <row r="45" spans="1:2" x14ac:dyDescent="0.3">
      <c r="A45" s="45" t="s">
        <v>355</v>
      </c>
      <c r="B45" s="46" t="s">
        <v>356</v>
      </c>
    </row>
    <row r="46" spans="1:2" x14ac:dyDescent="0.3">
      <c r="A46" s="47"/>
      <c r="B46" s="48" t="s">
        <v>357</v>
      </c>
    </row>
    <row r="47" spans="1:2" x14ac:dyDescent="0.3">
      <c r="A47" s="47"/>
      <c r="B47" s="48" t="s">
        <v>358</v>
      </c>
    </row>
    <row r="48" spans="1:2" x14ac:dyDescent="0.3">
      <c r="A48" s="49"/>
      <c r="B48" s="59" t="s">
        <v>359</v>
      </c>
    </row>
    <row r="49" spans="1:2" x14ac:dyDescent="0.3">
      <c r="A49" s="45" t="s">
        <v>19</v>
      </c>
      <c r="B49" s="57" t="s">
        <v>360</v>
      </c>
    </row>
    <row r="50" spans="1:2" x14ac:dyDescent="0.3">
      <c r="A50" s="47"/>
      <c r="B50" s="58" t="s">
        <v>361</v>
      </c>
    </row>
    <row r="51" spans="1:2" x14ac:dyDescent="0.3">
      <c r="A51" s="47"/>
      <c r="B51" s="48" t="s">
        <v>358</v>
      </c>
    </row>
    <row r="52" spans="1:2" x14ac:dyDescent="0.3">
      <c r="A52" s="49"/>
      <c r="B52" s="91" t="s">
        <v>362</v>
      </c>
    </row>
    <row r="53" spans="1:2" x14ac:dyDescent="0.3">
      <c r="A53" s="45" t="s">
        <v>20</v>
      </c>
      <c r="B53" s="57" t="s">
        <v>363</v>
      </c>
    </row>
    <row r="54" spans="1:2" x14ac:dyDescent="0.3">
      <c r="A54" s="47"/>
      <c r="B54" s="58" t="s">
        <v>364</v>
      </c>
    </row>
    <row r="55" spans="1:2" x14ac:dyDescent="0.3">
      <c r="A55" s="47"/>
      <c r="B55" s="58" t="s">
        <v>365</v>
      </c>
    </row>
    <row r="56" spans="1:2" x14ac:dyDescent="0.3">
      <c r="A56" s="47"/>
      <c r="B56" s="48" t="s">
        <v>358</v>
      </c>
    </row>
    <row r="57" spans="1:2" x14ac:dyDescent="0.3">
      <c r="A57" s="49"/>
      <c r="B57" s="59" t="s">
        <v>366</v>
      </c>
    </row>
    <row r="58" spans="1:2" x14ac:dyDescent="0.3">
      <c r="A58" s="45" t="s">
        <v>367</v>
      </c>
      <c r="B58" s="46" t="s">
        <v>368</v>
      </c>
    </row>
    <row r="59" spans="1:2" x14ac:dyDescent="0.3">
      <c r="A59" s="47"/>
      <c r="B59" s="48" t="s">
        <v>369</v>
      </c>
    </row>
    <row r="60" spans="1:2" x14ac:dyDescent="0.3">
      <c r="A60" s="47"/>
      <c r="B60" s="48" t="s">
        <v>352</v>
      </c>
    </row>
    <row r="61" spans="1:2" x14ac:dyDescent="0.3">
      <c r="A61" s="47"/>
      <c r="B61" s="58" t="s">
        <v>370</v>
      </c>
    </row>
    <row r="62" spans="1:2" x14ac:dyDescent="0.3">
      <c r="A62" s="49"/>
      <c r="B62" s="59" t="s">
        <v>371</v>
      </c>
    </row>
    <row r="63" spans="1:2" x14ac:dyDescent="0.3">
      <c r="A63" s="45" t="s">
        <v>57</v>
      </c>
      <c r="B63" s="46" t="s">
        <v>372</v>
      </c>
    </row>
    <row r="64" spans="1:2" x14ac:dyDescent="0.3">
      <c r="A64" s="47"/>
      <c r="B64" s="48" t="s">
        <v>373</v>
      </c>
    </row>
    <row r="65" spans="1:2" x14ac:dyDescent="0.3">
      <c r="A65" s="47"/>
      <c r="B65" s="48" t="s">
        <v>374</v>
      </c>
    </row>
    <row r="66" spans="1:2" x14ac:dyDescent="0.3">
      <c r="A66" s="47"/>
      <c r="B66" s="48" t="s">
        <v>352</v>
      </c>
    </row>
    <row r="67" spans="1:2" x14ac:dyDescent="0.3">
      <c r="A67" s="47"/>
      <c r="B67" s="48" t="s">
        <v>375</v>
      </c>
    </row>
    <row r="68" spans="1:2" x14ac:dyDescent="0.3">
      <c r="A68" s="47"/>
      <c r="B68" s="48" t="s">
        <v>376</v>
      </c>
    </row>
    <row r="69" spans="1:2" x14ac:dyDescent="0.3">
      <c r="A69" s="49"/>
      <c r="B69" s="59" t="s">
        <v>377</v>
      </c>
    </row>
    <row r="70" spans="1:2" x14ac:dyDescent="0.3">
      <c r="A70" s="45" t="s">
        <v>6</v>
      </c>
      <c r="B70" s="46" t="s">
        <v>378</v>
      </c>
    </row>
    <row r="71" spans="1:2" x14ac:dyDescent="0.3">
      <c r="A71" s="47"/>
      <c r="B71" s="48" t="s">
        <v>379</v>
      </c>
    </row>
    <row r="72" spans="1:2" x14ac:dyDescent="0.3">
      <c r="A72" s="47"/>
      <c r="B72" s="48" t="s">
        <v>380</v>
      </c>
    </row>
    <row r="73" spans="1:2" x14ac:dyDescent="0.3">
      <c r="A73" s="47"/>
      <c r="B73" s="48" t="s">
        <v>381</v>
      </c>
    </row>
    <row r="74" spans="1:2" ht="28.8" x14ac:dyDescent="0.3">
      <c r="A74" s="47"/>
      <c r="B74" s="60" t="s">
        <v>382</v>
      </c>
    </row>
    <row r="75" spans="1:2" x14ac:dyDescent="0.3">
      <c r="A75" s="47"/>
      <c r="B75" s="48" t="s">
        <v>352</v>
      </c>
    </row>
    <row r="76" spans="1:2" x14ac:dyDescent="0.3">
      <c r="A76" s="47"/>
      <c r="B76" s="58" t="s">
        <v>383</v>
      </c>
    </row>
    <row r="77" spans="1:2" x14ac:dyDescent="0.3">
      <c r="A77" s="47"/>
      <c r="B77" s="48" t="s">
        <v>384</v>
      </c>
    </row>
    <row r="78" spans="1:2" x14ac:dyDescent="0.3">
      <c r="A78" s="49"/>
      <c r="B78" s="59" t="s">
        <v>385</v>
      </c>
    </row>
    <row r="80" spans="1:2" x14ac:dyDescent="0.3">
      <c r="A80" s="54" t="s">
        <v>386</v>
      </c>
      <c r="B80" s="55"/>
    </row>
    <row r="81" spans="1:2" ht="28.8" x14ac:dyDescent="0.3">
      <c r="A81" s="72" t="s">
        <v>387</v>
      </c>
      <c r="B81" s="71" t="s">
        <v>388</v>
      </c>
    </row>
    <row r="82" spans="1:2" x14ac:dyDescent="0.3">
      <c r="A82" s="47"/>
      <c r="B82" s="48" t="s">
        <v>389</v>
      </c>
    </row>
    <row r="83" spans="1:2" x14ac:dyDescent="0.3">
      <c r="A83" s="47"/>
      <c r="B83" s="48" t="s">
        <v>358</v>
      </c>
    </row>
    <row r="84" spans="1:2" x14ac:dyDescent="0.3">
      <c r="A84" s="47"/>
      <c r="B84" s="48" t="s">
        <v>390</v>
      </c>
    </row>
    <row r="85" spans="1:2" x14ac:dyDescent="0.3">
      <c r="A85" s="47"/>
      <c r="B85" s="48" t="s">
        <v>391</v>
      </c>
    </row>
    <row r="86" spans="1:2" x14ac:dyDescent="0.3">
      <c r="A86" s="47"/>
      <c r="B86" s="48" t="s">
        <v>392</v>
      </c>
    </row>
    <row r="87" spans="1:2" x14ac:dyDescent="0.3">
      <c r="A87" s="49"/>
      <c r="B87" s="59" t="s">
        <v>393</v>
      </c>
    </row>
    <row r="89" spans="1:2" x14ac:dyDescent="0.3">
      <c r="A89" s="54" t="s">
        <v>411</v>
      </c>
      <c r="B89" s="54"/>
    </row>
    <row r="90" spans="1:2" x14ac:dyDescent="0.3">
      <c r="A90" t="s">
        <v>407</v>
      </c>
      <c r="B90" t="s">
        <v>412</v>
      </c>
    </row>
    <row r="91" spans="1:2" x14ac:dyDescent="0.3">
      <c r="A91" t="s">
        <v>404</v>
      </c>
      <c r="B91" t="s">
        <v>414</v>
      </c>
    </row>
    <row r="92" spans="1:2" x14ac:dyDescent="0.3">
      <c r="A92" t="s">
        <v>8</v>
      </c>
      <c r="B92" t="s">
        <v>415</v>
      </c>
    </row>
    <row r="93" spans="1:2" x14ac:dyDescent="0.3">
      <c r="A93" t="s">
        <v>410</v>
      </c>
      <c r="B93" t="s">
        <v>416</v>
      </c>
    </row>
    <row r="94" spans="1:2" x14ac:dyDescent="0.3">
      <c r="A94" t="s">
        <v>409</v>
      </c>
      <c r="B94" t="s">
        <v>417</v>
      </c>
    </row>
    <row r="95" spans="1:2" x14ac:dyDescent="0.3">
      <c r="A95" t="s">
        <v>419</v>
      </c>
      <c r="B95" t="s">
        <v>418</v>
      </c>
    </row>
    <row r="96" spans="1:2" x14ac:dyDescent="0.3">
      <c r="A96" t="s">
        <v>408</v>
      </c>
      <c r="B96" t="s">
        <v>420</v>
      </c>
    </row>
    <row r="97" spans="1:2" x14ac:dyDescent="0.3">
      <c r="A97" t="s">
        <v>9</v>
      </c>
      <c r="B97" t="s">
        <v>421</v>
      </c>
    </row>
    <row r="98" spans="1:2" x14ac:dyDescent="0.3">
      <c r="A98" t="s">
        <v>61</v>
      </c>
      <c r="B98" t="s">
        <v>422</v>
      </c>
    </row>
    <row r="99" spans="1:2" x14ac:dyDescent="0.3">
      <c r="A99" t="s">
        <v>402</v>
      </c>
      <c r="B99" t="s">
        <v>423</v>
      </c>
    </row>
    <row r="100" spans="1:2" x14ac:dyDescent="0.3">
      <c r="A100" t="s">
        <v>403</v>
      </c>
      <c r="B100" t="s">
        <v>424</v>
      </c>
    </row>
  </sheetData>
  <sheetProtection selectLockedCells="1"/>
  <hyperlinks>
    <hyperlink ref="B43" r:id="rId1" xr:uid="{58BC52D3-873A-4EE6-BA9A-AE7C145598E6}"/>
    <hyperlink ref="B44" r:id="rId2" xr:uid="{F5D3005D-6A06-43F2-8ED6-0B0FA2A9CD79}"/>
    <hyperlink ref="B76" r:id="rId3" xr:uid="{08FBE94F-6B0C-4534-9486-ACDB1CAF6254}"/>
    <hyperlink ref="B61" r:id="rId4" xr:uid="{552A765E-E826-458B-967C-7D4FB9EF88B9}"/>
    <hyperlink ref="B52" r:id="rId5" xr:uid="{65FDCC91-4E21-4E43-ABC4-80F990D750BE}"/>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156E9-976B-4F9D-B7C8-1FF7315B3BB7}">
  <sheetPr codeName="Sheet2"/>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ea8e0ad-7a59-4890-8d0b-cf42f5fca57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0014CAAA7CFDB43930161CD5FC09619" ma:contentTypeVersion="14" ma:contentTypeDescription="Create a new document." ma:contentTypeScope="" ma:versionID="e7f3af2ba21d9c62858d7125c3ad002a">
  <xsd:schema xmlns:xsd="http://www.w3.org/2001/XMLSchema" xmlns:xs="http://www.w3.org/2001/XMLSchema" xmlns:p="http://schemas.microsoft.com/office/2006/metadata/properties" xmlns:ns2="4ea8e0ad-7a59-4890-8d0b-cf42f5fca57b" xmlns:ns3="3b2ab695-dddd-4dee-92d6-b9c3e802a163" targetNamespace="http://schemas.microsoft.com/office/2006/metadata/properties" ma:root="true" ma:fieldsID="2f59dbada44965f4ac1a15d06ed396b3" ns2:_="" ns3:_="">
    <xsd:import namespace="4ea8e0ad-7a59-4890-8d0b-cf42f5fca57b"/>
    <xsd:import namespace="3b2ab695-dddd-4dee-92d6-b9c3e802a16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a8e0ad-7a59-4890-8d0b-cf42f5fca5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2ab695-dddd-4dee-92d6-b9c3e802a16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6472951-AE88-4373-8F66-FB35CEF65043}">
  <ds:schemaRefs>
    <ds:schemaRef ds:uri="http://schemas.microsoft.com/sharepoint/v3/contenttype/forms"/>
  </ds:schemaRefs>
</ds:datastoreItem>
</file>

<file path=customXml/itemProps2.xml><?xml version="1.0" encoding="utf-8"?>
<ds:datastoreItem xmlns:ds="http://schemas.openxmlformats.org/officeDocument/2006/customXml" ds:itemID="{3873DC90-24EC-47AD-91B7-6FACEB034FDA}">
  <ds:schemaRefs>
    <ds:schemaRef ds:uri="http://schemas.microsoft.com/office/2006/metadata/properties"/>
    <ds:schemaRef ds:uri="http://schemas.microsoft.com/sharepoint/v3"/>
    <ds:schemaRef ds:uri="http://purl.org/dc/terms/"/>
    <ds:schemaRef ds:uri="http://schemas.openxmlformats.org/package/2006/metadata/core-properties"/>
    <ds:schemaRef ds:uri="8a6c5866-9aee-4860-be59-b94cbe1de0dc"/>
    <ds:schemaRef ds:uri="http://schemas.microsoft.com/office/2006/documentManagement/types"/>
    <ds:schemaRef ds:uri="81ca6306-bcdf-4aee-bd70-7b0da701e606"/>
    <ds:schemaRef ds:uri="http://purl.org/dc/elements/1.1/"/>
    <ds:schemaRef ds:uri="http://schemas.microsoft.com/office/infopath/2007/PartnerControls"/>
    <ds:schemaRef ds:uri="http://www.w3.org/XML/1998/namespace"/>
    <ds:schemaRef ds:uri="http://purl.org/dc/dcmitype/"/>
    <ds:schemaRef ds:uri="4ea8e0ad-7a59-4890-8d0b-cf42f5fca57b"/>
  </ds:schemaRefs>
</ds:datastoreItem>
</file>

<file path=customXml/itemProps3.xml><?xml version="1.0" encoding="utf-8"?>
<ds:datastoreItem xmlns:ds="http://schemas.openxmlformats.org/officeDocument/2006/customXml" ds:itemID="{331F693B-36B3-47EE-BDC3-4A446EE2BB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a8e0ad-7a59-4890-8d0b-cf42f5fca57b"/>
    <ds:schemaRef ds:uri="3b2ab695-dddd-4dee-92d6-b9c3e802a1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18</vt:i4>
      </vt:variant>
    </vt:vector>
  </HeadingPairs>
  <TitlesOfParts>
    <vt:vector size="24" baseType="lpstr">
      <vt:lpstr>instructions</vt:lpstr>
      <vt:lpstr>tool</vt:lpstr>
      <vt:lpstr>lookup</vt:lpstr>
      <vt:lpstr>export</vt:lpstr>
      <vt:lpstr>dev</vt:lpstr>
      <vt:lpstr>Sheet1</vt:lpstr>
      <vt:lpstr>calc_test</vt:lpstr>
      <vt:lpstr>cnt</vt:lpstr>
      <vt:lpstr>CT_cnt</vt:lpstr>
      <vt:lpstr>CT_fig</vt:lpstr>
      <vt:lpstr>CT_sort</vt:lpstr>
      <vt:lpstr>CT_vals</vt:lpstr>
      <vt:lpstr>data_table</vt:lpstr>
      <vt:lpstr>last_row</vt:lpstr>
      <vt:lpstr>min_cnt</vt:lpstr>
      <vt:lpstr>n_samp</vt:lpstr>
      <vt:lpstr>parameters</vt:lpstr>
      <vt:lpstr>sample_table</vt:lpstr>
      <vt:lpstr>TX_cnt</vt:lpstr>
      <vt:lpstr>TX_desc</vt:lpstr>
      <vt:lpstr>TX_fig</vt:lpstr>
      <vt:lpstr>TX_sort</vt:lpstr>
      <vt:lpstr>TX_vals</vt:lpstr>
      <vt:lpstr>value_data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Winger</dc:creator>
  <cp:keywords/>
  <dc:description/>
  <cp:lastModifiedBy>Roth, Jason - FPAC-NRCS, OR</cp:lastModifiedBy>
  <cp:revision/>
  <cp:lastPrinted>2024-10-16T15:50:49Z</cp:lastPrinted>
  <dcterms:created xsi:type="dcterms:W3CDTF">2022-10-28T16:11:16Z</dcterms:created>
  <dcterms:modified xsi:type="dcterms:W3CDTF">2024-10-17T18:59:52Z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0x010100B0014CAAA7CFDB43930161CD5FC09619</vt:lpwstr>
  </property>
  <property fmtid="{D5CDD505-2E9C-101B-9397-08002B2CF9AE}" pid="3" name="MediaServiceImageTags">
    <vt:lpwstr/>
  </property>
</Properties>
</file>