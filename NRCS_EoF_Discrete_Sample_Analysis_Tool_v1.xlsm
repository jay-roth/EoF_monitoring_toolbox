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usdagcc.sharepoint.com/sites/FPAC-NRCS-WaterQualityQuantityTeam-EoF_recent_grads/Shared Documents/EoF_recent_grads/reporting_tools/discrete_tool/"/>
    </mc:Choice>
  </mc:AlternateContent>
  <xr:revisionPtr revIDLastSave="894" documentId="8_{5ED5C318-A2CA-4857-9387-7E28D7290DA5}" xr6:coauthVersionLast="47" xr6:coauthVersionMax="47" xr10:uidLastSave="{01D15135-C87C-4F0A-8E0A-4AD310A37906}"/>
  <workbookProtection workbookAlgorithmName="SHA-512" workbookHashValue="8D1WusLvM1zmvav/eFX/VYZVoUd+SqllGWbSMw7GNHrB39iS6mafmlcLhggwZqy0F7ztLq8WvEk8gxKwC+Jwgw==" workbookSaltValue="VW4fHlVQuCgLmZVPsmMNLg==" workbookSpinCount="100000" lockStructure="1"/>
  <bookViews>
    <workbookView xWindow="57480" yWindow="-120" windowWidth="29040" windowHeight="15720" tabRatio="778" xr2:uid="{FF1BA31B-5DC7-4A9F-BA96-FD3B06356474}"/>
  </bookViews>
  <sheets>
    <sheet name="Instructions" sheetId="16" r:id="rId1"/>
    <sheet name="tool" sheetId="13" r:id="rId2"/>
    <sheet name="report" sheetId="15" state="hidden" r:id="rId3"/>
    <sheet name="lookup" sheetId="14" state="veryHidden" r:id="rId4"/>
    <sheet name="dev" sheetId="17" state="veryHidden" r:id="rId5"/>
  </sheets>
  <definedNames>
    <definedName name="_xlchart.v1.0" hidden="1">report!$B$50</definedName>
    <definedName name="_xlchart.v1.1" hidden="1">report!$B$51</definedName>
    <definedName name="_xlchart.v1.2" hidden="1">tool!$L$35:$L$119</definedName>
    <definedName name="_xlchart.v1.3" hidden="1">tool!$M$35:$M$119</definedName>
    <definedName name="calc_test">tool!$P$16</definedName>
    <definedName name="cnt">tool!$C$25</definedName>
    <definedName name="conv_fact">lookup!$L$11</definedName>
    <definedName name="ct_plt_vals">tool!$L$35:$L$119</definedName>
    <definedName name="CT_sort">tool!$S$35:$S$119</definedName>
    <definedName name="CT_vals">tool!$J$35:$J$119</definedName>
    <definedName name="data_table">tool!$C$35:$G$119</definedName>
    <definedName name="date">tool!$C$35:$C$119</definedName>
    <definedName name="fig_content">IF(report!$B$31="T-Test", report!$B$20:$B$21, report!$D$20:$D$21)</definedName>
    <definedName name="last_row">tool!$K$33</definedName>
    <definedName name="metrics">lookup!$J$11:$J$19</definedName>
    <definedName name="min_cnt">tool!$P$17</definedName>
    <definedName name="n_samp">tool!$B$35:$B$119</definedName>
    <definedName name="parameters">parameter_tab[parameter]</definedName>
    <definedName name="project_data">tool!$C$6,tool!$E$6,tool!$G$6,tool!$C$8,tool!$C$10,tool!$G$8,tool!$C$12,tool!$G$12,tool!$G$10</definedName>
    <definedName name="sample_table">tool!$C$35:$G$119</definedName>
    <definedName name="TX_desc">tool!$C$14</definedName>
    <definedName name="tx_plt_vals">tool!$M$35:$M$119</definedName>
    <definedName name="TX_sort">tool!$W$35:$W$1119</definedName>
    <definedName name="TX_vals">tool!$K$35:$K$119</definedName>
    <definedName name="units">lookup!$K$11</definedName>
    <definedName name="value_data">tool!$E$35:$G$119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4" i="13" l="1"/>
  <c r="D34" i="13"/>
  <c r="C37" i="13"/>
  <c r="C38" i="13" s="1"/>
  <c r="C39" i="13" s="1"/>
  <c r="C36" i="13"/>
  <c r="B33" i="13"/>
  <c r="H35" i="13" l="1" a="1"/>
  <c r="H35" i="13" s="1"/>
  <c r="B35" i="13" s="1"/>
  <c r="H36" i="13" a="1"/>
  <c r="H36" i="13" s="1"/>
  <c r="H37" i="13" a="1"/>
  <c r="H37" i="13" s="1"/>
  <c r="H38" i="13" a="1"/>
  <c r="H38" i="13" s="1"/>
  <c r="H39" i="13" a="1"/>
  <c r="H39" i="13" s="1"/>
  <c r="H40" i="13" a="1"/>
  <c r="H40" i="13" s="1"/>
  <c r="H41" i="13" a="1"/>
  <c r="H41" i="13" s="1"/>
  <c r="H42" i="13" a="1"/>
  <c r="H42" i="13" s="1"/>
  <c r="H43" i="13" a="1"/>
  <c r="H43" i="13" s="1"/>
  <c r="H44" i="13" a="1"/>
  <c r="H44" i="13" s="1"/>
  <c r="H45" i="13" a="1"/>
  <c r="H45" i="13" s="1"/>
  <c r="H46" i="13" a="1"/>
  <c r="H46" i="13" s="1"/>
  <c r="B46" i="13" s="1"/>
  <c r="H47" i="13" a="1"/>
  <c r="H47" i="13" s="1"/>
  <c r="B47" i="13" s="1"/>
  <c r="H48" i="13" a="1"/>
  <c r="H48" i="13" s="1"/>
  <c r="B48" i="13" s="1"/>
  <c r="H49" i="13" a="1"/>
  <c r="H49" i="13" s="1"/>
  <c r="B49" i="13" s="1"/>
  <c r="H50" i="13" a="1"/>
  <c r="H50" i="13" s="1"/>
  <c r="B50" i="13" s="1"/>
  <c r="T50" i="13" s="1"/>
  <c r="H51" i="13" a="1"/>
  <c r="H51" i="13" s="1"/>
  <c r="B51" i="13" s="1"/>
  <c r="T51" i="13" s="1"/>
  <c r="H52" i="13" a="1"/>
  <c r="H52" i="13" s="1"/>
  <c r="B52" i="13" s="1"/>
  <c r="T52" i="13" s="1"/>
  <c r="H53" i="13" a="1"/>
  <c r="H53" i="13" s="1"/>
  <c r="B53" i="13" s="1"/>
  <c r="T53" i="13" s="1"/>
  <c r="H54" i="13" a="1"/>
  <c r="H54" i="13" s="1"/>
  <c r="B54" i="13" s="1"/>
  <c r="T54" i="13" s="1"/>
  <c r="H55" i="13" a="1"/>
  <c r="H55" i="13" s="1"/>
  <c r="B55" i="13" s="1"/>
  <c r="T55" i="13" s="1"/>
  <c r="H56" i="13" a="1"/>
  <c r="H56" i="13" s="1"/>
  <c r="B56" i="13" s="1"/>
  <c r="T56" i="13" s="1"/>
  <c r="H57" i="13" a="1"/>
  <c r="H57" i="13" s="1"/>
  <c r="H58" i="13" a="1"/>
  <c r="H58" i="13" s="1"/>
  <c r="B58" i="13" s="1"/>
  <c r="T58" i="13" s="1"/>
  <c r="H59" i="13" a="1"/>
  <c r="H59" i="13" s="1"/>
  <c r="H60" i="13" a="1"/>
  <c r="H60" i="13" s="1"/>
  <c r="B60" i="13" s="1"/>
  <c r="T60" i="13" s="1"/>
  <c r="H61" i="13" a="1"/>
  <c r="H61" i="13" s="1"/>
  <c r="B61" i="13" s="1"/>
  <c r="T61" i="13" s="1"/>
  <c r="H62" i="13" a="1"/>
  <c r="H62" i="13" s="1"/>
  <c r="B62" i="13" s="1"/>
  <c r="T62" i="13" s="1"/>
  <c r="H63" i="13" a="1"/>
  <c r="H63" i="13" s="1"/>
  <c r="B63" i="13" s="1"/>
  <c r="T63" i="13" s="1"/>
  <c r="H64" i="13" a="1"/>
  <c r="H64" i="13" s="1"/>
  <c r="B64" i="13" s="1"/>
  <c r="T64" i="13" s="1"/>
  <c r="H65" i="13" a="1"/>
  <c r="H65" i="13" s="1"/>
  <c r="B65" i="13" s="1"/>
  <c r="H66" i="13" a="1"/>
  <c r="H66" i="13" s="1"/>
  <c r="B66" i="13" s="1"/>
  <c r="H67" i="13" a="1"/>
  <c r="H67" i="13" s="1"/>
  <c r="B67" i="13" s="1"/>
  <c r="H68" i="13" a="1"/>
  <c r="H68" i="13" s="1"/>
  <c r="B68" i="13" s="1"/>
  <c r="H69" i="13" a="1"/>
  <c r="H69" i="13" s="1"/>
  <c r="H70" i="13" a="1"/>
  <c r="H70" i="13" s="1"/>
  <c r="B70" i="13" s="1"/>
  <c r="H71" i="13" a="1"/>
  <c r="H71" i="13" s="1"/>
  <c r="H72" i="13" a="1"/>
  <c r="H72" i="13" s="1"/>
  <c r="B72" i="13" s="1"/>
  <c r="H73" i="13" a="1"/>
  <c r="H73" i="13" s="1"/>
  <c r="B73" i="13" s="1"/>
  <c r="H74" i="13" a="1"/>
  <c r="H74" i="13" s="1"/>
  <c r="H75" i="13" a="1"/>
  <c r="H75" i="13" s="1"/>
  <c r="B75" i="13" s="1"/>
  <c r="H76" i="13" a="1"/>
  <c r="H76" i="13" s="1"/>
  <c r="B76" i="13" s="1"/>
  <c r="H77" i="13" a="1"/>
  <c r="H77" i="13" s="1"/>
  <c r="B77" i="13" s="1"/>
  <c r="H78" i="13" a="1"/>
  <c r="H78" i="13" s="1"/>
  <c r="B78" i="13" s="1"/>
  <c r="H79" i="13" a="1"/>
  <c r="H79" i="13" s="1"/>
  <c r="B79" i="13" s="1"/>
  <c r="H80" i="13" a="1"/>
  <c r="H80" i="13" s="1"/>
  <c r="B80" i="13" s="1"/>
  <c r="H81" i="13" a="1"/>
  <c r="H81" i="13" s="1"/>
  <c r="B81" i="13" s="1"/>
  <c r="H82" i="13" a="1"/>
  <c r="H82" i="13" s="1"/>
  <c r="B82" i="13" s="1"/>
  <c r="H83" i="13" a="1"/>
  <c r="H83" i="13" s="1"/>
  <c r="B83" i="13" s="1"/>
  <c r="H84" i="13" a="1"/>
  <c r="H84" i="13" s="1"/>
  <c r="B84" i="13" s="1"/>
  <c r="H85" i="13" a="1"/>
  <c r="H85" i="13" s="1"/>
  <c r="B85" i="13" s="1"/>
  <c r="H86" i="13" a="1"/>
  <c r="H86" i="13" s="1"/>
  <c r="H87" i="13" a="1"/>
  <c r="H87" i="13" s="1"/>
  <c r="B87" i="13" s="1"/>
  <c r="H88" i="13" a="1"/>
  <c r="H88" i="13" s="1"/>
  <c r="B88" i="13" s="1"/>
  <c r="H89" i="13" a="1"/>
  <c r="H89" i="13" s="1"/>
  <c r="B89" i="13" s="1"/>
  <c r="H90" i="13" a="1"/>
  <c r="H90" i="13" s="1"/>
  <c r="B90" i="13" s="1"/>
  <c r="H91" i="13" a="1"/>
  <c r="H91" i="13" s="1"/>
  <c r="B91" i="13" s="1"/>
  <c r="H92" i="13" a="1"/>
  <c r="H92" i="13" s="1"/>
  <c r="B92" i="13" s="1"/>
  <c r="H93" i="13" a="1"/>
  <c r="H93" i="13" s="1"/>
  <c r="H94" i="13" a="1"/>
  <c r="H94" i="13" s="1"/>
  <c r="B94" i="13" s="1"/>
  <c r="H95" i="13" a="1"/>
  <c r="H95" i="13" s="1"/>
  <c r="B95" i="13" s="1"/>
  <c r="H96" i="13" a="1"/>
  <c r="H96" i="13" s="1"/>
  <c r="B96" i="13" s="1"/>
  <c r="H97" i="13" a="1"/>
  <c r="H97" i="13" s="1"/>
  <c r="H98" i="13" a="1"/>
  <c r="H98" i="13" s="1"/>
  <c r="B98" i="13" s="1"/>
  <c r="H99" i="13" a="1"/>
  <c r="H99" i="13" s="1"/>
  <c r="B99" i="13" s="1"/>
  <c r="H100" i="13" a="1"/>
  <c r="H100" i="13" s="1"/>
  <c r="B100" i="13" s="1"/>
  <c r="H101" i="13" a="1"/>
  <c r="H101" i="13" s="1"/>
  <c r="B101" i="13" s="1"/>
  <c r="H102" i="13" a="1"/>
  <c r="H102" i="13" s="1"/>
  <c r="B102" i="13" s="1"/>
  <c r="H103" i="13" a="1"/>
  <c r="H103" i="13" s="1"/>
  <c r="B103" i="13" s="1"/>
  <c r="H104" i="13" a="1"/>
  <c r="H104" i="13" s="1"/>
  <c r="B104" i="13" s="1"/>
  <c r="H105" i="13" a="1"/>
  <c r="H105" i="13" s="1"/>
  <c r="H106" i="13" a="1"/>
  <c r="H106" i="13" s="1"/>
  <c r="B106" i="13" s="1"/>
  <c r="H107" i="13" a="1"/>
  <c r="H107" i="13" s="1"/>
  <c r="H108" i="13" a="1"/>
  <c r="H108" i="13" s="1"/>
  <c r="B108" i="13" s="1"/>
  <c r="H109" i="13" a="1"/>
  <c r="H109" i="13" s="1"/>
  <c r="H110" i="13" a="1"/>
  <c r="H110" i="13" s="1"/>
  <c r="H111" i="13" a="1"/>
  <c r="H111" i="13" s="1"/>
  <c r="H112" i="13" a="1"/>
  <c r="H112" i="13" s="1"/>
  <c r="B112" i="13" s="1"/>
  <c r="H113" i="13" a="1"/>
  <c r="H113" i="13" s="1"/>
  <c r="B113" i="13" s="1"/>
  <c r="H114" i="13" a="1"/>
  <c r="H114" i="13" s="1"/>
  <c r="B114" i="13" s="1"/>
  <c r="H115" i="13" a="1"/>
  <c r="H115" i="13" s="1"/>
  <c r="B115" i="13" s="1"/>
  <c r="H116" i="13" a="1"/>
  <c r="H116" i="13" s="1"/>
  <c r="B116" i="13" s="1"/>
  <c r="H117" i="13" a="1"/>
  <c r="H117" i="13" s="1"/>
  <c r="H118" i="13" a="1"/>
  <c r="H118" i="13" s="1"/>
  <c r="B118" i="13" s="1"/>
  <c r="H119" i="13" a="1"/>
  <c r="H119" i="13" s="1"/>
  <c r="B119" i="13" s="1"/>
  <c r="H120" i="13" a="1"/>
  <c r="H120" i="13" s="1"/>
  <c r="B120" i="13" s="1"/>
  <c r="B13" i="15"/>
  <c r="B2" i="17"/>
  <c r="A42" i="15" s="1"/>
  <c r="B52" i="15" a="1"/>
  <c r="B52" i="15" s="1"/>
  <c r="B11" i="15" a="1"/>
  <c r="B11" i="15" s="1"/>
  <c r="B48" i="15"/>
  <c r="B7" i="15"/>
  <c r="G16" i="14"/>
  <c r="K11" i="14" a="1"/>
  <c r="K11" i="14" s="1"/>
  <c r="G12" i="13" s="1"/>
  <c r="L11" i="14" a="1"/>
  <c r="L11" i="14" s="1"/>
  <c r="J35" i="13" s="1" a="1"/>
  <c r="J35" i="13" s="1"/>
  <c r="G34" i="14"/>
  <c r="G33" i="14"/>
  <c r="G31" i="14"/>
  <c r="G30" i="14"/>
  <c r="G28" i="14"/>
  <c r="G27" i="14"/>
  <c r="G25" i="14"/>
  <c r="G24" i="14"/>
  <c r="G22" i="14"/>
  <c r="G21" i="14"/>
  <c r="G19" i="14"/>
  <c r="G18" i="14"/>
  <c r="J11" i="14" a="1"/>
  <c r="J11" i="14" s="1"/>
  <c r="I11" i="14" a="1"/>
  <c r="I11" i="14"/>
  <c r="G15" i="14"/>
  <c r="G13" i="14"/>
  <c r="B51" i="15"/>
  <c r="B10" i="15"/>
  <c r="B50" i="15"/>
  <c r="B9" i="15"/>
  <c r="B49" i="15"/>
  <c r="B47" i="15"/>
  <c r="B43" i="15"/>
  <c r="B27" i="15"/>
  <c r="C27" i="15" s="1" a="1"/>
  <c r="C27" i="15" s="1"/>
  <c r="B8" i="15"/>
  <c r="B6" i="15"/>
  <c r="B3" i="15"/>
  <c r="B29" i="13"/>
  <c r="AR105" i="13"/>
  <c r="AT104" i="13"/>
  <c r="AS105" i="13"/>
  <c r="AQ67" i="13"/>
  <c r="AQ73" i="13"/>
  <c r="AQ104" i="13"/>
  <c r="AQ92" i="13"/>
  <c r="AQ80" i="13"/>
  <c r="AQ68" i="13"/>
  <c r="AQ56" i="13"/>
  <c r="AT105" i="13"/>
  <c r="AQ103" i="13"/>
  <c r="AQ90" i="13"/>
  <c r="AQ101" i="13"/>
  <c r="AQ89" i="13"/>
  <c r="AQ77" i="13"/>
  <c r="AQ65" i="13"/>
  <c r="AQ53" i="13"/>
  <c r="AQ78" i="13"/>
  <c r="AQ100" i="13"/>
  <c r="AQ88" i="13"/>
  <c r="AQ76" i="13"/>
  <c r="AQ64" i="13"/>
  <c r="AQ52" i="13"/>
  <c r="AQ54" i="13"/>
  <c r="AQ99" i="13"/>
  <c r="AQ87" i="13"/>
  <c r="AQ75" i="13"/>
  <c r="AQ63" i="13"/>
  <c r="AQ51" i="13"/>
  <c r="AQ91" i="13"/>
  <c r="AQ102" i="13"/>
  <c r="AQ66" i="13"/>
  <c r="AQ98" i="13"/>
  <c r="AQ86" i="13"/>
  <c r="AQ74" i="13"/>
  <c r="AQ62" i="13"/>
  <c r="AQ50" i="13"/>
  <c r="AQ55" i="13"/>
  <c r="AQ85" i="13"/>
  <c r="AQ61" i="13"/>
  <c r="AQ96" i="13"/>
  <c r="AQ84" i="13"/>
  <c r="AQ72" i="13"/>
  <c r="AQ60" i="13"/>
  <c r="AQ95" i="13"/>
  <c r="AQ83" i="13"/>
  <c r="AQ71" i="13"/>
  <c r="AQ59" i="13"/>
  <c r="AQ94" i="13"/>
  <c r="AQ82" i="13"/>
  <c r="AQ70" i="13"/>
  <c r="AQ58" i="13"/>
  <c r="AQ79" i="13"/>
  <c r="AQ97" i="13"/>
  <c r="AQ49" i="13"/>
  <c r="AQ105" i="13"/>
  <c r="AQ93" i="13"/>
  <c r="AQ81" i="13"/>
  <c r="AQ69" i="13"/>
  <c r="AQ57" i="13"/>
  <c r="AS104" i="13"/>
  <c r="AR104" i="13"/>
  <c r="AR91" i="13"/>
  <c r="AR97" i="13"/>
  <c r="AR94" i="13"/>
  <c r="AS50" i="13"/>
  <c r="AR70" i="13"/>
  <c r="AS70" i="13"/>
  <c r="AT73" i="13"/>
  <c r="AR84" i="13"/>
  <c r="AR57" i="13"/>
  <c r="AS91" i="13"/>
  <c r="AS86" i="13"/>
  <c r="AR86" i="13"/>
  <c r="AS57" i="13"/>
  <c r="AR52" i="13"/>
  <c r="AT52" i="13"/>
  <c r="AS52" i="13"/>
  <c r="AS73" i="13"/>
  <c r="AR73" i="13"/>
  <c r="AR81" i="13"/>
  <c r="AT81" i="13"/>
  <c r="AS81" i="13"/>
  <c r="AR50" i="13"/>
  <c r="AT50" i="13"/>
  <c r="AS99" i="13"/>
  <c r="AR99" i="13"/>
  <c r="AT99" i="13"/>
  <c r="AT70" i="13"/>
  <c r="AS84" i="13"/>
  <c r="AT84" i="13"/>
  <c r="AT86" i="13"/>
  <c r="AT94" i="13"/>
  <c r="AS94" i="13"/>
  <c r="AT57" i="13"/>
  <c r="AT93" i="13"/>
  <c r="AS93" i="13"/>
  <c r="AR93" i="13"/>
  <c r="AT97" i="13"/>
  <c r="AS97" i="13"/>
  <c r="AT91" i="13"/>
  <c r="AS78" i="13"/>
  <c r="AR78" i="13"/>
  <c r="AT78" i="13"/>
  <c r="AT62" i="13"/>
  <c r="AR62" i="13"/>
  <c r="AS62" i="13"/>
  <c r="AT56" i="13"/>
  <c r="AR56" i="13"/>
  <c r="AS56" i="13"/>
  <c r="AR80" i="13"/>
  <c r="AS80" i="13"/>
  <c r="AT80" i="13"/>
  <c r="AT87" i="13"/>
  <c r="AS87" i="13"/>
  <c r="AR87" i="13"/>
  <c r="AR98" i="13"/>
  <c r="AS98" i="13"/>
  <c r="AT98" i="13"/>
  <c r="AR49" i="13"/>
  <c r="AT49" i="13"/>
  <c r="AS49" i="13"/>
  <c r="AT74" i="13"/>
  <c r="AR74" i="13"/>
  <c r="AS74" i="13"/>
  <c r="AR51" i="13"/>
  <c r="AT51" i="13"/>
  <c r="AS51" i="13"/>
  <c r="AR53" i="13"/>
  <c r="AT53" i="13"/>
  <c r="AS53" i="13"/>
  <c r="AS101" i="13"/>
  <c r="AR101" i="13"/>
  <c r="AT101" i="13"/>
  <c r="AR55" i="13"/>
  <c r="AT55" i="13"/>
  <c r="AS55" i="13"/>
  <c r="AS61" i="13"/>
  <c r="AR61" i="13"/>
  <c r="AT61" i="13"/>
  <c r="AR76" i="13"/>
  <c r="AS76" i="13"/>
  <c r="AT76" i="13"/>
  <c r="AT69" i="13"/>
  <c r="AS69" i="13"/>
  <c r="AR69" i="13"/>
  <c r="AT60" i="13"/>
  <c r="AR60" i="13"/>
  <c r="AS60" i="13"/>
  <c r="AT72" i="13"/>
  <c r="AR72" i="13"/>
  <c r="AS72" i="13"/>
  <c r="AS68" i="13"/>
  <c r="AR68" i="13"/>
  <c r="AT68" i="13"/>
  <c r="AT102" i="13"/>
  <c r="AR102" i="13"/>
  <c r="AS102" i="13"/>
  <c r="AR88" i="13"/>
  <c r="AS88" i="13"/>
  <c r="AT88" i="13"/>
  <c r="AT96" i="13"/>
  <c r="AS96" i="13"/>
  <c r="AR96" i="13"/>
  <c r="AR65" i="13"/>
  <c r="AT65" i="13"/>
  <c r="AS65" i="13"/>
  <c r="AT90" i="13"/>
  <c r="AS90" i="13"/>
  <c r="AR90" i="13"/>
  <c r="AT95" i="13"/>
  <c r="AR95" i="13"/>
  <c r="AS95" i="13"/>
  <c r="AR103" i="13"/>
  <c r="AS103" i="13"/>
  <c r="AT103" i="13"/>
  <c r="AR82" i="13"/>
  <c r="AT82" i="13"/>
  <c r="AS82" i="13"/>
  <c r="AT59" i="13"/>
  <c r="AS59" i="13"/>
  <c r="AR59" i="13"/>
  <c r="AS77" i="13"/>
  <c r="AR77" i="13"/>
  <c r="AT77" i="13"/>
  <c r="AR67" i="13"/>
  <c r="AT67" i="13"/>
  <c r="AS67" i="13"/>
  <c r="AR64" i="13"/>
  <c r="AS64" i="13"/>
  <c r="AT64" i="13"/>
  <c r="AR85" i="13"/>
  <c r="AT85" i="13"/>
  <c r="AS85" i="13"/>
  <c r="AR89" i="13"/>
  <c r="AT89" i="13"/>
  <c r="AS89" i="13"/>
  <c r="AR54" i="13"/>
  <c r="AS54" i="13"/>
  <c r="AT54" i="13"/>
  <c r="AR75" i="13"/>
  <c r="AS75" i="13"/>
  <c r="AT75" i="13"/>
  <c r="AR92" i="13"/>
  <c r="AS92" i="13"/>
  <c r="AT92" i="13"/>
  <c r="AT100" i="13"/>
  <c r="AS100" i="13"/>
  <c r="AR100" i="13"/>
  <c r="AR58" i="13"/>
  <c r="AT58" i="13"/>
  <c r="AS58" i="13"/>
  <c r="AR71" i="13"/>
  <c r="AS71" i="13"/>
  <c r="AT71" i="13"/>
  <c r="AR83" i="13"/>
  <c r="AT83" i="13"/>
  <c r="AS83" i="13"/>
  <c r="AR63" i="13"/>
  <c r="AT63" i="13"/>
  <c r="AS63" i="13"/>
  <c r="AT66" i="13"/>
  <c r="AS66" i="13"/>
  <c r="AR66" i="13"/>
  <c r="AR79" i="13"/>
  <c r="AS79" i="13"/>
  <c r="AT79" i="13"/>
  <c r="A2" i="15" l="1"/>
  <c r="K36" i="13" a="1"/>
  <c r="K36" i="13" s="1"/>
  <c r="M36" i="13" s="1"/>
  <c r="K46" i="13" a="1"/>
  <c r="K46" i="13" s="1"/>
  <c r="M46" i="13" s="1"/>
  <c r="K57" i="13" a="1"/>
  <c r="K57" i="13" s="1"/>
  <c r="M57" i="13" s="1"/>
  <c r="K67" i="13" a="1"/>
  <c r="K67" i="13" s="1"/>
  <c r="M67" i="13" s="1"/>
  <c r="K79" i="13" a="1"/>
  <c r="K79" i="13" s="1"/>
  <c r="M79" i="13" s="1"/>
  <c r="K89" i="13" a="1"/>
  <c r="K89" i="13" s="1"/>
  <c r="M89" i="13" s="1"/>
  <c r="K111" i="13" a="1"/>
  <c r="K111" i="13" s="1"/>
  <c r="M111" i="13" s="1"/>
  <c r="J43" i="13" a="1"/>
  <c r="J43" i="13" s="1"/>
  <c r="L43" i="13" s="1"/>
  <c r="J55" i="13" a="1"/>
  <c r="J55" i="13" s="1"/>
  <c r="L55" i="13" s="1"/>
  <c r="J67" i="13" a="1"/>
  <c r="J67" i="13" s="1"/>
  <c r="L67" i="13" s="1"/>
  <c r="J79" i="13" a="1"/>
  <c r="J79" i="13" s="1"/>
  <c r="L79" i="13" s="1"/>
  <c r="J90" i="13" a="1"/>
  <c r="J90" i="13" s="1"/>
  <c r="L90" i="13" s="1"/>
  <c r="J102" i="13" a="1"/>
  <c r="J102" i="13" s="1"/>
  <c r="L102" i="13" s="1"/>
  <c r="J114" i="13" a="1"/>
  <c r="J114" i="13" s="1"/>
  <c r="L114" i="13" s="1"/>
  <c r="K63" i="13" a="1"/>
  <c r="K63" i="13" s="1"/>
  <c r="M63" i="13" s="1"/>
  <c r="J75" i="13" a="1"/>
  <c r="J75" i="13" s="1"/>
  <c r="L75" i="13" s="1"/>
  <c r="J53" i="13" a="1"/>
  <c r="J53" i="13" s="1"/>
  <c r="L53" i="13" s="1"/>
  <c r="K37" i="13" a="1"/>
  <c r="K37" i="13" s="1"/>
  <c r="M37" i="13" s="1"/>
  <c r="K47" i="13" a="1"/>
  <c r="K47" i="13" s="1"/>
  <c r="M47" i="13" s="1"/>
  <c r="K68" i="13" a="1"/>
  <c r="K68" i="13" s="1"/>
  <c r="M68" i="13" s="1"/>
  <c r="K80" i="13" a="1"/>
  <c r="K80" i="13" s="1"/>
  <c r="M80" i="13" s="1"/>
  <c r="K90" i="13" a="1"/>
  <c r="K90" i="13" s="1"/>
  <c r="M90" i="13" s="1"/>
  <c r="K100" i="13" a="1"/>
  <c r="K100" i="13" s="1"/>
  <c r="M100" i="13" s="1"/>
  <c r="K112" i="13" a="1"/>
  <c r="K112" i="13" s="1"/>
  <c r="M112" i="13" s="1"/>
  <c r="J44" i="13" a="1"/>
  <c r="J44" i="13" s="1"/>
  <c r="L44" i="13" s="1"/>
  <c r="J56" i="13" a="1"/>
  <c r="J56" i="13" s="1"/>
  <c r="L56" i="13" s="1"/>
  <c r="J68" i="13" a="1"/>
  <c r="J68" i="13" s="1"/>
  <c r="L68" i="13" s="1"/>
  <c r="J80" i="13" a="1"/>
  <c r="J80" i="13" s="1"/>
  <c r="L80" i="13" s="1"/>
  <c r="J91" i="13" a="1"/>
  <c r="J91" i="13" s="1"/>
  <c r="L91" i="13" s="1"/>
  <c r="J103" i="13" a="1"/>
  <c r="J103" i="13" s="1"/>
  <c r="L103" i="13" s="1"/>
  <c r="J115" i="13" a="1"/>
  <c r="J115" i="13" s="1"/>
  <c r="L115" i="13" s="1"/>
  <c r="K85" i="13" a="1"/>
  <c r="K85" i="13" s="1"/>
  <c r="M85" i="13" s="1"/>
  <c r="J41" i="13" a="1"/>
  <c r="J41" i="13" s="1"/>
  <c r="L41" i="13" s="1"/>
  <c r="K38" i="13" a="1"/>
  <c r="K38" i="13" s="1"/>
  <c r="M38" i="13" s="1"/>
  <c r="K48" i="13" a="1"/>
  <c r="K48" i="13" s="1"/>
  <c r="M48" i="13" s="1"/>
  <c r="K58" i="13" a="1"/>
  <c r="K58" i="13" s="1"/>
  <c r="M58" i="13" s="1"/>
  <c r="K69" i="13" a="1"/>
  <c r="K69" i="13" s="1"/>
  <c r="M69" i="13" s="1"/>
  <c r="K91" i="13" a="1"/>
  <c r="K91" i="13" s="1"/>
  <c r="M91" i="13" s="1"/>
  <c r="K101" i="13" a="1"/>
  <c r="K101" i="13" s="1"/>
  <c r="M101" i="13" s="1"/>
  <c r="K113" i="13" a="1"/>
  <c r="K113" i="13" s="1"/>
  <c r="M113" i="13" s="1"/>
  <c r="J45" i="13" a="1"/>
  <c r="J45" i="13" s="1"/>
  <c r="L45" i="13" s="1"/>
  <c r="J57" i="13" a="1"/>
  <c r="J57" i="13" s="1"/>
  <c r="L57" i="13" s="1"/>
  <c r="J69" i="13" a="1"/>
  <c r="J69" i="13" s="1"/>
  <c r="L69" i="13" s="1"/>
  <c r="J81" i="13" a="1"/>
  <c r="J81" i="13" s="1"/>
  <c r="L81" i="13" s="1"/>
  <c r="J92" i="13" a="1"/>
  <c r="J92" i="13" s="1"/>
  <c r="L92" i="13" s="1"/>
  <c r="J104" i="13" a="1"/>
  <c r="J104" i="13" s="1"/>
  <c r="L104" i="13" s="1"/>
  <c r="J116" i="13" a="1"/>
  <c r="J116" i="13" s="1"/>
  <c r="L116" i="13" s="1"/>
  <c r="K77" i="13" a="1"/>
  <c r="K77" i="13" s="1"/>
  <c r="M77" i="13" s="1"/>
  <c r="K49" i="13" a="1"/>
  <c r="K49" i="13" s="1"/>
  <c r="M49" i="13" s="1"/>
  <c r="K59" i="13" a="1"/>
  <c r="K59" i="13" s="1"/>
  <c r="M59" i="13" s="1"/>
  <c r="K70" i="13" a="1"/>
  <c r="K70" i="13" s="1"/>
  <c r="M70" i="13" s="1"/>
  <c r="K81" i="13" a="1"/>
  <c r="K81" i="13" s="1"/>
  <c r="M81" i="13" s="1"/>
  <c r="K92" i="13" a="1"/>
  <c r="K92" i="13" s="1"/>
  <c r="M92" i="13" s="1"/>
  <c r="K102" i="13" a="1"/>
  <c r="K102" i="13" s="1"/>
  <c r="M102" i="13" s="1"/>
  <c r="K114" i="13" a="1"/>
  <c r="K114" i="13" s="1"/>
  <c r="M114" i="13" s="1"/>
  <c r="J46" i="13" a="1"/>
  <c r="J46" i="13" s="1"/>
  <c r="L46" i="13" s="1"/>
  <c r="J58" i="13" a="1"/>
  <c r="J58" i="13" s="1"/>
  <c r="L58" i="13" s="1"/>
  <c r="J70" i="13" a="1"/>
  <c r="J70" i="13" s="1"/>
  <c r="L70" i="13" s="1"/>
  <c r="J82" i="13" a="1"/>
  <c r="J82" i="13" s="1"/>
  <c r="L82" i="13" s="1"/>
  <c r="J93" i="13" a="1"/>
  <c r="J93" i="13" s="1"/>
  <c r="L93" i="13" s="1"/>
  <c r="J105" i="13" a="1"/>
  <c r="J105" i="13" s="1"/>
  <c r="L105" i="13" s="1"/>
  <c r="J117" i="13" a="1"/>
  <c r="J117" i="13" s="1"/>
  <c r="L117" i="13" s="1"/>
  <c r="K75" i="13" a="1"/>
  <c r="K75" i="13" s="1"/>
  <c r="M75" i="13" s="1"/>
  <c r="J110" i="13" a="1"/>
  <c r="J110" i="13" s="1"/>
  <c r="L110" i="13" s="1"/>
  <c r="J88" i="13" a="1"/>
  <c r="J88" i="13" s="1"/>
  <c r="L88" i="13" s="1"/>
  <c r="K39" i="13" a="1"/>
  <c r="K39" i="13" s="1"/>
  <c r="M39" i="13" s="1"/>
  <c r="K50" i="13" a="1"/>
  <c r="K50" i="13" s="1"/>
  <c r="M50" i="13" s="1"/>
  <c r="K60" i="13" a="1"/>
  <c r="K60" i="13" s="1"/>
  <c r="M60" i="13" s="1"/>
  <c r="K71" i="13" a="1"/>
  <c r="K71" i="13" s="1"/>
  <c r="M71" i="13" s="1"/>
  <c r="K93" i="13" a="1"/>
  <c r="K93" i="13" s="1"/>
  <c r="M93" i="13" s="1"/>
  <c r="K103" i="13" a="1"/>
  <c r="K103" i="13" s="1"/>
  <c r="M103" i="13" s="1"/>
  <c r="K115" i="13" a="1"/>
  <c r="K115" i="13" s="1"/>
  <c r="M115" i="13" s="1"/>
  <c r="J47" i="13" a="1"/>
  <c r="J47" i="13" s="1"/>
  <c r="L47" i="13" s="1"/>
  <c r="J59" i="13" a="1"/>
  <c r="J59" i="13" s="1"/>
  <c r="L59" i="13" s="1"/>
  <c r="J71" i="13" a="1"/>
  <c r="J71" i="13" s="1"/>
  <c r="L71" i="13" s="1"/>
  <c r="J94" i="13" a="1"/>
  <c r="J94" i="13" s="1"/>
  <c r="L94" i="13" s="1"/>
  <c r="J106" i="13" a="1"/>
  <c r="J106" i="13" s="1"/>
  <c r="L106" i="13" s="1"/>
  <c r="J118" i="13" a="1"/>
  <c r="J118" i="13" s="1"/>
  <c r="L118" i="13" s="1"/>
  <c r="K107" i="13" a="1"/>
  <c r="K107" i="13" s="1"/>
  <c r="M107" i="13" s="1"/>
  <c r="J37" i="13" a="1"/>
  <c r="J37" i="13" s="1"/>
  <c r="L37" i="13" s="1"/>
  <c r="J100" i="13" a="1"/>
  <c r="J100" i="13" s="1"/>
  <c r="L100" i="13" s="1"/>
  <c r="K51" i="13" a="1"/>
  <c r="K51" i="13" s="1"/>
  <c r="M51" i="13" s="1"/>
  <c r="K61" i="13" a="1"/>
  <c r="K61" i="13" s="1"/>
  <c r="M61" i="13" s="1"/>
  <c r="K72" i="13" a="1"/>
  <c r="K72" i="13" s="1"/>
  <c r="M72" i="13" s="1"/>
  <c r="K82" i="13" a="1"/>
  <c r="K82" i="13" s="1"/>
  <c r="M82" i="13" s="1"/>
  <c r="K94" i="13" a="1"/>
  <c r="K94" i="13" s="1"/>
  <c r="M94" i="13" s="1"/>
  <c r="K104" i="13" a="1"/>
  <c r="K104" i="13" s="1"/>
  <c r="M104" i="13" s="1"/>
  <c r="K116" i="13" a="1"/>
  <c r="K116" i="13" s="1"/>
  <c r="M116" i="13" s="1"/>
  <c r="J48" i="13" a="1"/>
  <c r="J48" i="13" s="1"/>
  <c r="L48" i="13" s="1"/>
  <c r="J60" i="13" a="1"/>
  <c r="J60" i="13" s="1"/>
  <c r="L60" i="13" s="1"/>
  <c r="J72" i="13" a="1"/>
  <c r="J72" i="13" s="1"/>
  <c r="L72" i="13" s="1"/>
  <c r="J83" i="13" a="1"/>
  <c r="J83" i="13" s="1"/>
  <c r="L83" i="13" s="1"/>
  <c r="J95" i="13" a="1"/>
  <c r="J95" i="13" s="1"/>
  <c r="L95" i="13" s="1"/>
  <c r="J107" i="13" a="1"/>
  <c r="J107" i="13" s="1"/>
  <c r="L107" i="13" s="1"/>
  <c r="J119" i="13" a="1"/>
  <c r="J119" i="13" s="1"/>
  <c r="L119" i="13" s="1"/>
  <c r="K53" i="13" a="1"/>
  <c r="K53" i="13" s="1"/>
  <c r="M53" i="13" s="1"/>
  <c r="J98" i="13" a="1"/>
  <c r="J98" i="13" s="1"/>
  <c r="L98" i="13" s="1"/>
  <c r="J77" i="13" a="1"/>
  <c r="J77" i="13" s="1"/>
  <c r="L77" i="13" s="1"/>
  <c r="K40" i="13" a="1"/>
  <c r="K40" i="13" s="1"/>
  <c r="M40" i="13" s="1"/>
  <c r="K62" i="13" a="1"/>
  <c r="K62" i="13" s="1"/>
  <c r="M62" i="13" s="1"/>
  <c r="K73" i="13" a="1"/>
  <c r="K73" i="13" s="1"/>
  <c r="M73" i="13" s="1"/>
  <c r="K83" i="13" a="1"/>
  <c r="K83" i="13" s="1"/>
  <c r="M83" i="13" s="1"/>
  <c r="K95" i="13" a="1"/>
  <c r="K95" i="13" s="1"/>
  <c r="M95" i="13" s="1"/>
  <c r="K105" i="13" a="1"/>
  <c r="K105" i="13" s="1"/>
  <c r="M105" i="13" s="1"/>
  <c r="K117" i="13" a="1"/>
  <c r="K117" i="13" s="1"/>
  <c r="M117" i="13" s="1"/>
  <c r="J49" i="13" a="1"/>
  <c r="J49" i="13" s="1"/>
  <c r="L49" i="13" s="1"/>
  <c r="J61" i="13" a="1"/>
  <c r="J61" i="13" s="1"/>
  <c r="L61" i="13" s="1"/>
  <c r="J73" i="13" a="1"/>
  <c r="J73" i="13" s="1"/>
  <c r="L73" i="13" s="1"/>
  <c r="J84" i="13" a="1"/>
  <c r="J84" i="13" s="1"/>
  <c r="L84" i="13" s="1"/>
  <c r="J96" i="13" a="1"/>
  <c r="J96" i="13" s="1"/>
  <c r="L96" i="13" s="1"/>
  <c r="J108" i="13" a="1"/>
  <c r="J108" i="13" s="1"/>
  <c r="L108" i="13" s="1"/>
  <c r="K42" i="13" a="1"/>
  <c r="K42" i="13" s="1"/>
  <c r="M42" i="13" s="1"/>
  <c r="K119" i="13" a="1"/>
  <c r="K119" i="13" s="1"/>
  <c r="M119" i="13" s="1"/>
  <c r="J63" i="13" a="1"/>
  <c r="J63" i="13" s="1"/>
  <c r="L63" i="13" s="1"/>
  <c r="J112" i="13" a="1"/>
  <c r="J112" i="13" s="1"/>
  <c r="L112" i="13" s="1"/>
  <c r="K41" i="13" a="1"/>
  <c r="K41" i="13" s="1"/>
  <c r="M41" i="13" s="1"/>
  <c r="K52" i="13" a="1"/>
  <c r="K52" i="13" s="1"/>
  <c r="M52" i="13" s="1"/>
  <c r="K74" i="13" a="1"/>
  <c r="K74" i="13" s="1"/>
  <c r="M74" i="13" s="1"/>
  <c r="K84" i="13" a="1"/>
  <c r="K84" i="13" s="1"/>
  <c r="M84" i="13" s="1"/>
  <c r="K96" i="13" a="1"/>
  <c r="K96" i="13" s="1"/>
  <c r="M96" i="13" s="1"/>
  <c r="K106" i="13" a="1"/>
  <c r="K106" i="13" s="1"/>
  <c r="M106" i="13" s="1"/>
  <c r="K118" i="13" a="1"/>
  <c r="K118" i="13" s="1"/>
  <c r="M118" i="13" s="1"/>
  <c r="J50" i="13" a="1"/>
  <c r="J50" i="13" s="1"/>
  <c r="L50" i="13" s="1"/>
  <c r="J62" i="13" a="1"/>
  <c r="J62" i="13" s="1"/>
  <c r="L62" i="13" s="1"/>
  <c r="J74" i="13" a="1"/>
  <c r="J74" i="13" s="1"/>
  <c r="L74" i="13" s="1"/>
  <c r="J85" i="13" a="1"/>
  <c r="J85" i="13" s="1"/>
  <c r="L85" i="13" s="1"/>
  <c r="J97" i="13" a="1"/>
  <c r="J97" i="13" s="1"/>
  <c r="L97" i="13" s="1"/>
  <c r="J109" i="13" a="1"/>
  <c r="J109" i="13" s="1"/>
  <c r="L109" i="13" s="1"/>
  <c r="J36" i="13" a="1"/>
  <c r="J36" i="13" s="1"/>
  <c r="L36" i="13" s="1"/>
  <c r="K87" i="13" a="1"/>
  <c r="K87" i="13" s="1"/>
  <c r="M87" i="13" s="1"/>
  <c r="K43" i="13" a="1"/>
  <c r="K43" i="13" s="1"/>
  <c r="M43" i="13" s="1"/>
  <c r="K54" i="13" a="1"/>
  <c r="K54" i="13" s="1"/>
  <c r="M54" i="13" s="1"/>
  <c r="K64" i="13" a="1"/>
  <c r="K64" i="13" s="1"/>
  <c r="M64" i="13" s="1"/>
  <c r="K76" i="13" a="1"/>
  <c r="K76" i="13" s="1"/>
  <c r="M76" i="13" s="1"/>
  <c r="K86" i="13" a="1"/>
  <c r="K86" i="13" s="1"/>
  <c r="M86" i="13" s="1"/>
  <c r="K98" i="13" a="1"/>
  <c r="K98" i="13" s="1"/>
  <c r="M98" i="13" s="1"/>
  <c r="K108" i="13" a="1"/>
  <c r="K108" i="13" s="1"/>
  <c r="M108" i="13" s="1"/>
  <c r="K35" i="13" a="1"/>
  <c r="K35" i="13" s="1"/>
  <c r="M35" i="13" s="1"/>
  <c r="J52" i="13" a="1"/>
  <c r="J52" i="13" s="1"/>
  <c r="L52" i="13" s="1"/>
  <c r="J64" i="13" a="1"/>
  <c r="J64" i="13" s="1"/>
  <c r="L64" i="13" s="1"/>
  <c r="J76" i="13" a="1"/>
  <c r="J76" i="13" s="1"/>
  <c r="L76" i="13" s="1"/>
  <c r="J87" i="13" a="1"/>
  <c r="J87" i="13" s="1"/>
  <c r="L87" i="13" s="1"/>
  <c r="J99" i="13" a="1"/>
  <c r="J99" i="13" s="1"/>
  <c r="L99" i="13" s="1"/>
  <c r="J111" i="13" a="1"/>
  <c r="J111" i="13" s="1"/>
  <c r="L111" i="13" s="1"/>
  <c r="J38" i="13" a="1"/>
  <c r="J38" i="13" s="1"/>
  <c r="L38" i="13" s="1"/>
  <c r="K44" i="13" a="1"/>
  <c r="K44" i="13" s="1"/>
  <c r="M44" i="13" s="1"/>
  <c r="K55" i="13" a="1"/>
  <c r="K55" i="13" s="1"/>
  <c r="M55" i="13" s="1"/>
  <c r="K65" i="13" a="1"/>
  <c r="K65" i="13" s="1"/>
  <c r="M65" i="13" s="1"/>
  <c r="K109" i="13" a="1"/>
  <c r="K109" i="13" s="1"/>
  <c r="M109" i="13" s="1"/>
  <c r="J39" i="13" a="1"/>
  <c r="J39" i="13" s="1"/>
  <c r="L39" i="13" s="1"/>
  <c r="K45" i="13" a="1"/>
  <c r="K45" i="13" s="1"/>
  <c r="M45" i="13" s="1"/>
  <c r="K56" i="13" a="1"/>
  <c r="K56" i="13" s="1"/>
  <c r="M56" i="13" s="1"/>
  <c r="K66" i="13" a="1"/>
  <c r="K66" i="13" s="1"/>
  <c r="M66" i="13" s="1"/>
  <c r="K78" i="13" a="1"/>
  <c r="K78" i="13" s="1"/>
  <c r="M78" i="13" s="1"/>
  <c r="K88" i="13" a="1"/>
  <c r="K88" i="13" s="1"/>
  <c r="M88" i="13" s="1"/>
  <c r="K99" i="13" a="1"/>
  <c r="K99" i="13" s="1"/>
  <c r="M99" i="13" s="1"/>
  <c r="K110" i="13" a="1"/>
  <c r="K110" i="13" s="1"/>
  <c r="M110" i="13" s="1"/>
  <c r="J42" i="13" a="1"/>
  <c r="J42" i="13" s="1"/>
  <c r="L42" i="13" s="1"/>
  <c r="J54" i="13" a="1"/>
  <c r="J54" i="13" s="1"/>
  <c r="L54" i="13" s="1"/>
  <c r="J66" i="13" a="1"/>
  <c r="J66" i="13" s="1"/>
  <c r="L66" i="13" s="1"/>
  <c r="J78" i="13" a="1"/>
  <c r="J78" i="13" s="1"/>
  <c r="L78" i="13" s="1"/>
  <c r="J89" i="13" a="1"/>
  <c r="J89" i="13" s="1"/>
  <c r="L89" i="13" s="1"/>
  <c r="J101" i="13" a="1"/>
  <c r="J101" i="13" s="1"/>
  <c r="L101" i="13" s="1"/>
  <c r="J113" i="13" a="1"/>
  <c r="J113" i="13" s="1"/>
  <c r="L113" i="13" s="1"/>
  <c r="J40" i="13" a="1"/>
  <c r="J40" i="13" s="1"/>
  <c r="L40" i="13" s="1"/>
  <c r="K97" i="13" a="1"/>
  <c r="K97" i="13" s="1"/>
  <c r="M97" i="13" s="1"/>
  <c r="J51" i="13" a="1"/>
  <c r="J51" i="13" s="1"/>
  <c r="L51" i="13" s="1"/>
  <c r="J86" i="13" a="1"/>
  <c r="J86" i="13" s="1"/>
  <c r="L86" i="13" s="1"/>
  <c r="J65" i="13" a="1"/>
  <c r="J65" i="13" s="1"/>
  <c r="L65" i="13" s="1"/>
  <c r="AA61" i="13"/>
  <c r="B1" i="13"/>
  <c r="L35" i="13"/>
  <c r="U118" i="13"/>
  <c r="Q118" i="13"/>
  <c r="P118" i="13"/>
  <c r="T118" i="13"/>
  <c r="O118" i="13"/>
  <c r="Q81" i="13"/>
  <c r="P81" i="13"/>
  <c r="O81" i="13"/>
  <c r="U81" i="13"/>
  <c r="T81" i="13"/>
  <c r="Q68" i="13"/>
  <c r="P68" i="13"/>
  <c r="O68" i="13"/>
  <c r="U68" i="13"/>
  <c r="T68" i="13"/>
  <c r="P56" i="13"/>
  <c r="O56" i="13"/>
  <c r="Q56" i="13"/>
  <c r="U56" i="13"/>
  <c r="P115" i="13"/>
  <c r="O115" i="13"/>
  <c r="U115" i="13"/>
  <c r="T115" i="13"/>
  <c r="Q115" i="13"/>
  <c r="P103" i="13"/>
  <c r="O103" i="13"/>
  <c r="U103" i="13"/>
  <c r="T103" i="13"/>
  <c r="Q103" i="13"/>
  <c r="P91" i="13"/>
  <c r="O91" i="13"/>
  <c r="U91" i="13"/>
  <c r="T91" i="13"/>
  <c r="Q91" i="13"/>
  <c r="P79" i="13"/>
  <c r="O79" i="13"/>
  <c r="U79" i="13"/>
  <c r="T79" i="13"/>
  <c r="Q79" i="13"/>
  <c r="P67" i="13"/>
  <c r="O67" i="13"/>
  <c r="U67" i="13"/>
  <c r="T67" i="13"/>
  <c r="Q67" i="13"/>
  <c r="P55" i="13"/>
  <c r="O55" i="13"/>
  <c r="Q55" i="13"/>
  <c r="U55" i="13"/>
  <c r="Q116" i="13"/>
  <c r="P116" i="13"/>
  <c r="O116" i="13"/>
  <c r="U116" i="13"/>
  <c r="T116" i="13"/>
  <c r="O102" i="13"/>
  <c r="Q102" i="13"/>
  <c r="U102" i="13"/>
  <c r="T102" i="13"/>
  <c r="P102" i="13"/>
  <c r="O113" i="13"/>
  <c r="P113" i="13"/>
  <c r="U113" i="13"/>
  <c r="T113" i="13"/>
  <c r="Q113" i="13"/>
  <c r="AA101" i="13"/>
  <c r="O101" i="13"/>
  <c r="P101" i="13"/>
  <c r="U101" i="13"/>
  <c r="T101" i="13"/>
  <c r="Q101" i="13"/>
  <c r="X89" i="13"/>
  <c r="O89" i="13"/>
  <c r="P89" i="13"/>
  <c r="U89" i="13"/>
  <c r="T89" i="13"/>
  <c r="Q89" i="13"/>
  <c r="O77" i="13"/>
  <c r="U77" i="13"/>
  <c r="T77" i="13"/>
  <c r="Q77" i="13"/>
  <c r="P77" i="13"/>
  <c r="X65" i="13"/>
  <c r="O65" i="13"/>
  <c r="P65" i="13"/>
  <c r="U65" i="13"/>
  <c r="T65" i="13"/>
  <c r="Q65" i="13"/>
  <c r="O53" i="13"/>
  <c r="Q53" i="13"/>
  <c r="P53" i="13"/>
  <c r="U53" i="13"/>
  <c r="Q92" i="13"/>
  <c r="P92" i="13"/>
  <c r="O92" i="13"/>
  <c r="U92" i="13"/>
  <c r="T92" i="13"/>
  <c r="O78" i="13"/>
  <c r="Q78" i="13"/>
  <c r="U78" i="13"/>
  <c r="T78" i="13"/>
  <c r="P78" i="13"/>
  <c r="U112" i="13"/>
  <c r="T112" i="13"/>
  <c r="Q112" i="13"/>
  <c r="P112" i="13"/>
  <c r="O112" i="13"/>
  <c r="U100" i="13"/>
  <c r="T100" i="13"/>
  <c r="Q100" i="13"/>
  <c r="P100" i="13"/>
  <c r="O100" i="13"/>
  <c r="U88" i="13"/>
  <c r="T88" i="13"/>
  <c r="Q88" i="13"/>
  <c r="P88" i="13"/>
  <c r="O88" i="13"/>
  <c r="U76" i="13"/>
  <c r="T76" i="13"/>
  <c r="Q76" i="13"/>
  <c r="P76" i="13"/>
  <c r="O76" i="13"/>
  <c r="U64" i="13"/>
  <c r="Q64" i="13"/>
  <c r="P64" i="13"/>
  <c r="O64" i="13"/>
  <c r="Q52" i="13"/>
  <c r="U52" i="13"/>
  <c r="P52" i="13"/>
  <c r="O52" i="13"/>
  <c r="O114" i="13"/>
  <c r="Q114" i="13"/>
  <c r="U114" i="13"/>
  <c r="T114" i="13"/>
  <c r="P114" i="13"/>
  <c r="O66" i="13"/>
  <c r="Q66" i="13"/>
  <c r="U66" i="13"/>
  <c r="T66" i="13"/>
  <c r="P66" i="13"/>
  <c r="U99" i="13"/>
  <c r="T99" i="13"/>
  <c r="Q99" i="13"/>
  <c r="O99" i="13"/>
  <c r="P99" i="13"/>
  <c r="U87" i="13"/>
  <c r="T87" i="13"/>
  <c r="O87" i="13"/>
  <c r="Q87" i="13"/>
  <c r="P87" i="13"/>
  <c r="AB75" i="13"/>
  <c r="O75" i="13"/>
  <c r="U75" i="13"/>
  <c r="T75" i="13"/>
  <c r="Q75" i="13"/>
  <c r="P75" i="13"/>
  <c r="U63" i="13"/>
  <c r="Q63" i="13"/>
  <c r="P63" i="13"/>
  <c r="O63" i="13"/>
  <c r="AB51" i="13"/>
  <c r="U51" i="13"/>
  <c r="O51" i="13"/>
  <c r="P51" i="13"/>
  <c r="Q51" i="13"/>
  <c r="Q104" i="13"/>
  <c r="P104" i="13"/>
  <c r="O104" i="13"/>
  <c r="U104" i="13"/>
  <c r="T104" i="13"/>
  <c r="O90" i="13"/>
  <c r="Q90" i="13"/>
  <c r="U90" i="13"/>
  <c r="T90" i="13"/>
  <c r="P90" i="13"/>
  <c r="U98" i="13"/>
  <c r="T98" i="13"/>
  <c r="Q98" i="13"/>
  <c r="P98" i="13"/>
  <c r="O98" i="13"/>
  <c r="AA62" i="13"/>
  <c r="U62" i="13"/>
  <c r="Q62" i="13"/>
  <c r="P62" i="13"/>
  <c r="O62" i="13"/>
  <c r="U50" i="13"/>
  <c r="Q50" i="13"/>
  <c r="P50" i="13"/>
  <c r="O50" i="13"/>
  <c r="Q80" i="13"/>
  <c r="P80" i="13"/>
  <c r="O80" i="13"/>
  <c r="U80" i="13"/>
  <c r="T80" i="13"/>
  <c r="O54" i="13"/>
  <c r="Q54" i="13"/>
  <c r="U54" i="13"/>
  <c r="P54" i="13"/>
  <c r="U85" i="13"/>
  <c r="T85" i="13"/>
  <c r="Q85" i="13"/>
  <c r="P85" i="13"/>
  <c r="O85" i="13"/>
  <c r="U73" i="13"/>
  <c r="T73" i="13"/>
  <c r="Q73" i="13"/>
  <c r="P73" i="13"/>
  <c r="O73" i="13"/>
  <c r="U61" i="13"/>
  <c r="Q61" i="13"/>
  <c r="P61" i="13"/>
  <c r="O61" i="13"/>
  <c r="U49" i="13"/>
  <c r="T49" i="13"/>
  <c r="P49" i="13"/>
  <c r="O49" i="13"/>
  <c r="Q49" i="13"/>
  <c r="P120" i="13"/>
  <c r="O120" i="13"/>
  <c r="U108" i="13"/>
  <c r="T108" i="13"/>
  <c r="Q108" i="13"/>
  <c r="P108" i="13"/>
  <c r="O108" i="13"/>
  <c r="U96" i="13"/>
  <c r="T96" i="13"/>
  <c r="Q96" i="13"/>
  <c r="P96" i="13"/>
  <c r="O96" i="13"/>
  <c r="U84" i="13"/>
  <c r="T84" i="13"/>
  <c r="Q84" i="13"/>
  <c r="P84" i="13"/>
  <c r="O84" i="13"/>
  <c r="U72" i="13"/>
  <c r="T72" i="13"/>
  <c r="Q72" i="13"/>
  <c r="P72" i="13"/>
  <c r="O72" i="13"/>
  <c r="U60" i="13"/>
  <c r="Q60" i="13"/>
  <c r="P60" i="13"/>
  <c r="O60" i="13"/>
  <c r="U48" i="13"/>
  <c r="T48" i="13"/>
  <c r="P48" i="13"/>
  <c r="O48" i="13"/>
  <c r="Q48" i="13"/>
  <c r="Q119" i="13"/>
  <c r="P119" i="13"/>
  <c r="O119" i="13"/>
  <c r="U119" i="13"/>
  <c r="T119" i="13"/>
  <c r="Q95" i="13"/>
  <c r="P95" i="13"/>
  <c r="O95" i="13"/>
  <c r="U95" i="13"/>
  <c r="T95" i="13"/>
  <c r="Q83" i="13"/>
  <c r="P83" i="13"/>
  <c r="O83" i="13"/>
  <c r="U83" i="13"/>
  <c r="T83" i="13"/>
  <c r="P47" i="13"/>
  <c r="O47" i="13"/>
  <c r="Q47" i="13"/>
  <c r="U47" i="13"/>
  <c r="T47" i="13"/>
  <c r="Q106" i="13"/>
  <c r="P106" i="13"/>
  <c r="U106" i="13"/>
  <c r="T106" i="13"/>
  <c r="O106" i="13"/>
  <c r="Q94" i="13"/>
  <c r="P94" i="13"/>
  <c r="T94" i="13"/>
  <c r="U94" i="13"/>
  <c r="O94" i="13"/>
  <c r="Q82" i="13"/>
  <c r="P82" i="13"/>
  <c r="O82" i="13"/>
  <c r="U82" i="13"/>
  <c r="T82" i="13"/>
  <c r="Q70" i="13"/>
  <c r="T70" i="13"/>
  <c r="P70" i="13"/>
  <c r="O70" i="13"/>
  <c r="U70" i="13"/>
  <c r="Q58" i="13"/>
  <c r="P58" i="13"/>
  <c r="O58" i="13"/>
  <c r="U58" i="13"/>
  <c r="P46" i="13"/>
  <c r="T46" i="13"/>
  <c r="Q46" i="13"/>
  <c r="O46" i="13"/>
  <c r="U46" i="13"/>
  <c r="B36" i="13"/>
  <c r="B117" i="13"/>
  <c r="AB117" i="13" s="1"/>
  <c r="B105" i="13"/>
  <c r="B93" i="13"/>
  <c r="B69" i="13"/>
  <c r="B57" i="13"/>
  <c r="B111" i="13"/>
  <c r="B110" i="13"/>
  <c r="B86" i="13"/>
  <c r="B74" i="13"/>
  <c r="B109" i="13"/>
  <c r="B97" i="13"/>
  <c r="B107" i="13"/>
  <c r="B71" i="13"/>
  <c r="B59" i="13"/>
  <c r="X95" i="13"/>
  <c r="AA89" i="13"/>
  <c r="AB65" i="13"/>
  <c r="X101" i="13"/>
  <c r="AB89" i="13"/>
  <c r="X50" i="13"/>
  <c r="AJ103" i="13"/>
  <c r="AK103" i="13" s="1"/>
  <c r="AA98" i="13"/>
  <c r="AA75" i="13"/>
  <c r="AA87" i="13"/>
  <c r="X87" i="13"/>
  <c r="X83" i="13"/>
  <c r="X75" i="13"/>
  <c r="AB87" i="13"/>
  <c r="AJ52" i="13"/>
  <c r="AN52" i="13" s="1"/>
  <c r="X52" i="13"/>
  <c r="B12" i="15"/>
  <c r="B53" i="15"/>
  <c r="A71" i="15" s="1"/>
  <c r="AB53" i="13"/>
  <c r="X53" i="13"/>
  <c r="AA53" i="13"/>
  <c r="AB50" i="13"/>
  <c r="X119" i="13"/>
  <c r="AA50" i="13"/>
  <c r="X51" i="13"/>
  <c r="AJ94" i="13"/>
  <c r="AL94" i="13" s="1"/>
  <c r="AB49" i="13"/>
  <c r="AJ49" i="13"/>
  <c r="AN49" i="13" s="1"/>
  <c r="AA49" i="13"/>
  <c r="X49" i="13"/>
  <c r="AJ100" i="13"/>
  <c r="AN100" i="13" s="1"/>
  <c r="X100" i="13"/>
  <c r="AJ46" i="13"/>
  <c r="AN46" i="13" s="1"/>
  <c r="AJ55" i="13"/>
  <c r="AN55" i="13" s="1"/>
  <c r="AJ64" i="13"/>
  <c r="AN64" i="13" s="1"/>
  <c r="X64" i="13"/>
  <c r="AJ91" i="13"/>
  <c r="AK91" i="13" s="1"/>
  <c r="AJ73" i="13"/>
  <c r="AN73" i="13" s="1"/>
  <c r="AJ67" i="13"/>
  <c r="AK67" i="13" s="1"/>
  <c r="AA51" i="13"/>
  <c r="AB81" i="13"/>
  <c r="AB61" i="13"/>
  <c r="X81" i="13"/>
  <c r="AJ58" i="13"/>
  <c r="AK58" i="13" s="1"/>
  <c r="AA81" i="13"/>
  <c r="AA65" i="13"/>
  <c r="AB82" i="13"/>
  <c r="AA82" i="13"/>
  <c r="X82" i="13"/>
  <c r="AJ82" i="13"/>
  <c r="AB118" i="13"/>
  <c r="AA118" i="13"/>
  <c r="X118" i="13"/>
  <c r="AJ118" i="13"/>
  <c r="AL118" i="13" s="1"/>
  <c r="AB79" i="13"/>
  <c r="AA79" i="13"/>
  <c r="X79" i="13"/>
  <c r="AJ79" i="13"/>
  <c r="AK79" i="13" s="1"/>
  <c r="AB115" i="13"/>
  <c r="AA115" i="13"/>
  <c r="X115" i="13"/>
  <c r="AJ115" i="13"/>
  <c r="AB88" i="13"/>
  <c r="AA88" i="13"/>
  <c r="AJ88" i="13"/>
  <c r="AL88" i="13" s="1"/>
  <c r="X88" i="13"/>
  <c r="AB76" i="13"/>
  <c r="AA76" i="13"/>
  <c r="X76" i="13"/>
  <c r="AJ76" i="13"/>
  <c r="AK76" i="13" s="1"/>
  <c r="AB112" i="13"/>
  <c r="AA112" i="13"/>
  <c r="X112" i="13"/>
  <c r="AJ112" i="13"/>
  <c r="AK112" i="13" s="1"/>
  <c r="AJ85" i="13"/>
  <c r="AK85" i="13" s="1"/>
  <c r="AA85" i="13"/>
  <c r="AB85" i="13"/>
  <c r="X85" i="13"/>
  <c r="AJ113" i="13"/>
  <c r="AK113" i="13" s="1"/>
  <c r="AB106" i="13"/>
  <c r="AA106" i="13"/>
  <c r="X106" i="13"/>
  <c r="AJ99" i="13"/>
  <c r="AL99" i="13" s="1"/>
  <c r="AJ77" i="13"/>
  <c r="AL77" i="13" s="1"/>
  <c r="AB70" i="13"/>
  <c r="AA70" i="13"/>
  <c r="X70" i="13"/>
  <c r="AJ63" i="13"/>
  <c r="AL63" i="13" s="1"/>
  <c r="AB63" i="13"/>
  <c r="AJ98" i="13"/>
  <c r="AK98" i="13" s="1"/>
  <c r="AB91" i="13"/>
  <c r="AA91" i="13"/>
  <c r="X91" i="13"/>
  <c r="AJ84" i="13"/>
  <c r="AL84" i="13" s="1"/>
  <c r="AB84" i="13"/>
  <c r="AA84" i="13"/>
  <c r="X84" i="13"/>
  <c r="AJ62" i="13"/>
  <c r="AL62" i="13" s="1"/>
  <c r="AB55" i="13"/>
  <c r="AA55" i="13"/>
  <c r="X55" i="13"/>
  <c r="AJ48" i="13"/>
  <c r="AL48" i="13" s="1"/>
  <c r="AB48" i="13"/>
  <c r="AA48" i="13"/>
  <c r="X48" i="13"/>
  <c r="AA63" i="13"/>
  <c r="AB62" i="13"/>
  <c r="AJ119" i="13"/>
  <c r="AK119" i="13" s="1"/>
  <c r="AB119" i="13"/>
  <c r="AA119" i="13"/>
  <c r="AJ83" i="13"/>
  <c r="AK83" i="13" s="1"/>
  <c r="AB83" i="13"/>
  <c r="AA83" i="13"/>
  <c r="AJ61" i="13"/>
  <c r="AL61" i="13" s="1"/>
  <c r="AJ47" i="13"/>
  <c r="AK47" i="13" s="1"/>
  <c r="AB47" i="13"/>
  <c r="AA47" i="13"/>
  <c r="X47" i="13"/>
  <c r="X63" i="13"/>
  <c r="AB113" i="13"/>
  <c r="AJ89" i="13"/>
  <c r="AK89" i="13" s="1"/>
  <c r="AJ75" i="13"/>
  <c r="AK75" i="13" s="1"/>
  <c r="AJ53" i="13"/>
  <c r="AK53" i="13" s="1"/>
  <c r="AB46" i="13"/>
  <c r="AA46" i="13"/>
  <c r="X46" i="13"/>
  <c r="AJ104" i="13"/>
  <c r="AK104" i="13" s="1"/>
  <c r="AB104" i="13"/>
  <c r="AA104" i="13"/>
  <c r="X104" i="13"/>
  <c r="AJ68" i="13"/>
  <c r="AK68" i="13" s="1"/>
  <c r="AB68" i="13"/>
  <c r="AA68" i="13"/>
  <c r="X68" i="13"/>
  <c r="AB54" i="13"/>
  <c r="AA54" i="13"/>
  <c r="X54" i="13"/>
  <c r="AJ54" i="13"/>
  <c r="AK54" i="13" s="1"/>
  <c r="X62" i="13"/>
  <c r="AA113" i="13"/>
  <c r="AB103" i="13"/>
  <c r="AA103" i="13"/>
  <c r="X103" i="13"/>
  <c r="AJ96" i="13"/>
  <c r="AL96" i="13" s="1"/>
  <c r="AB96" i="13"/>
  <c r="AA96" i="13"/>
  <c r="X96" i="13"/>
  <c r="AB67" i="13"/>
  <c r="AA67" i="13"/>
  <c r="X67" i="13"/>
  <c r="AJ60" i="13"/>
  <c r="AL60" i="13" s="1"/>
  <c r="AB60" i="13"/>
  <c r="AA60" i="13"/>
  <c r="X60" i="13"/>
  <c r="X61" i="13"/>
  <c r="AJ95" i="13"/>
  <c r="AK95" i="13" s="1"/>
  <c r="AB95" i="13"/>
  <c r="AA95" i="13"/>
  <c r="AJ81" i="13"/>
  <c r="AK81" i="13" s="1"/>
  <c r="AB52" i="13"/>
  <c r="AA52" i="13"/>
  <c r="AB90" i="13"/>
  <c r="AA90" i="13"/>
  <c r="X90" i="13"/>
  <c r="AJ90" i="13"/>
  <c r="AK90" i="13" s="1"/>
  <c r="AB77" i="13"/>
  <c r="AB102" i="13"/>
  <c r="AA102" i="13"/>
  <c r="X102" i="13"/>
  <c r="AJ102" i="13"/>
  <c r="AK102" i="13" s="1"/>
  <c r="AJ80" i="13"/>
  <c r="AL80" i="13" s="1"/>
  <c r="AB80" i="13"/>
  <c r="AA80" i="13"/>
  <c r="X80" i="13"/>
  <c r="AB66" i="13"/>
  <c r="AA66" i="13"/>
  <c r="X66" i="13"/>
  <c r="AJ66" i="13"/>
  <c r="AK66" i="13" s="1"/>
  <c r="X98" i="13"/>
  <c r="AA77" i="13"/>
  <c r="AJ101" i="13"/>
  <c r="AL101" i="13" s="1"/>
  <c r="AB94" i="13"/>
  <c r="AA94" i="13"/>
  <c r="X94" i="13"/>
  <c r="AJ87" i="13"/>
  <c r="AK87" i="13" s="1"/>
  <c r="AJ65" i="13"/>
  <c r="AL65" i="13" s="1"/>
  <c r="AB58" i="13"/>
  <c r="AA58" i="13"/>
  <c r="X58" i="13"/>
  <c r="AJ51" i="13"/>
  <c r="AK51" i="13" s="1"/>
  <c r="X99" i="13"/>
  <c r="X77" i="13"/>
  <c r="AB101" i="13"/>
  <c r="AJ108" i="13"/>
  <c r="AL108" i="13" s="1"/>
  <c r="AB108" i="13"/>
  <c r="AA108" i="13"/>
  <c r="X108" i="13"/>
  <c r="AJ72" i="13"/>
  <c r="AL72" i="13" s="1"/>
  <c r="AB72" i="13"/>
  <c r="AA72" i="13"/>
  <c r="X72" i="13"/>
  <c r="AJ50" i="13"/>
  <c r="AK50" i="13" s="1"/>
  <c r="AJ116" i="13"/>
  <c r="AK116" i="13" s="1"/>
  <c r="AB116" i="13"/>
  <c r="AA116" i="13"/>
  <c r="X116" i="13"/>
  <c r="X113" i="13"/>
  <c r="AB99" i="13"/>
  <c r="AB73" i="13"/>
  <c r="AB100" i="13"/>
  <c r="AA100" i="13"/>
  <c r="AB64" i="13"/>
  <c r="AA64" i="13"/>
  <c r="X73" i="13"/>
  <c r="AA99" i="13"/>
  <c r="AA73" i="13"/>
  <c r="AB98" i="13"/>
  <c r="AB114" i="13"/>
  <c r="AA114" i="13"/>
  <c r="X114" i="13"/>
  <c r="AJ114" i="13"/>
  <c r="AK114" i="13" s="1"/>
  <c r="AJ106" i="13"/>
  <c r="AL106" i="13" s="1"/>
  <c r="AJ92" i="13"/>
  <c r="AL92" i="13" s="1"/>
  <c r="AB92" i="13"/>
  <c r="AA92" i="13"/>
  <c r="X92" i="13"/>
  <c r="AB78" i="13"/>
  <c r="AA78" i="13"/>
  <c r="X78" i="13"/>
  <c r="AJ78" i="13"/>
  <c r="AK78" i="13" s="1"/>
  <c r="AJ70" i="13"/>
  <c r="AJ56" i="13"/>
  <c r="AL56" i="13" s="1"/>
  <c r="AB56" i="13"/>
  <c r="AA56" i="13"/>
  <c r="X56" i="13"/>
  <c r="A84" i="15" l="1"/>
  <c r="AA59" i="13"/>
  <c r="T59" i="13"/>
  <c r="AJ57" i="13"/>
  <c r="AK57" i="13" s="1"/>
  <c r="T57" i="13"/>
  <c r="X57" i="13"/>
  <c r="X117" i="13"/>
  <c r="AJ117" i="13"/>
  <c r="AK117" i="13" s="1"/>
  <c r="X71" i="13"/>
  <c r="Q71" i="13"/>
  <c r="P71" i="13"/>
  <c r="O71" i="13"/>
  <c r="U71" i="13"/>
  <c r="T71" i="13"/>
  <c r="AA117" i="13"/>
  <c r="Q117" i="13"/>
  <c r="P117" i="13"/>
  <c r="O117" i="13"/>
  <c r="U117" i="13"/>
  <c r="T117" i="13"/>
  <c r="Q107" i="13"/>
  <c r="P107" i="13"/>
  <c r="O107" i="13"/>
  <c r="U107" i="13"/>
  <c r="T107" i="13"/>
  <c r="B37" i="13"/>
  <c r="U97" i="13"/>
  <c r="T97" i="13"/>
  <c r="Q97" i="13"/>
  <c r="P97" i="13"/>
  <c r="O97" i="13"/>
  <c r="AA74" i="13"/>
  <c r="U74" i="13"/>
  <c r="T74" i="13"/>
  <c r="Q74" i="13"/>
  <c r="P74" i="13"/>
  <c r="O74" i="13"/>
  <c r="U86" i="13"/>
  <c r="T86" i="13"/>
  <c r="Q86" i="13"/>
  <c r="P86" i="13"/>
  <c r="O86" i="13"/>
  <c r="AA107" i="13"/>
  <c r="AB110" i="13"/>
  <c r="U110" i="13"/>
  <c r="T110" i="13"/>
  <c r="Q110" i="13"/>
  <c r="P110" i="13"/>
  <c r="O110" i="13"/>
  <c r="AA111" i="13"/>
  <c r="U111" i="13"/>
  <c r="T111" i="13"/>
  <c r="O111" i="13"/>
  <c r="Q111" i="13"/>
  <c r="P111" i="13"/>
  <c r="AA109" i="13"/>
  <c r="U109" i="13"/>
  <c r="T109" i="13"/>
  <c r="Q109" i="13"/>
  <c r="P109" i="13"/>
  <c r="O109" i="13"/>
  <c r="AA57" i="13"/>
  <c r="Q57" i="13"/>
  <c r="P57" i="13"/>
  <c r="O57" i="13"/>
  <c r="U57" i="13"/>
  <c r="X69" i="13"/>
  <c r="Q69" i="13"/>
  <c r="P69" i="13"/>
  <c r="O69" i="13"/>
  <c r="U69" i="13"/>
  <c r="T69" i="13"/>
  <c r="AB93" i="13"/>
  <c r="Q93" i="13"/>
  <c r="P93" i="13"/>
  <c r="O93" i="13"/>
  <c r="U93" i="13"/>
  <c r="T93" i="13"/>
  <c r="Q59" i="13"/>
  <c r="P59" i="13"/>
  <c r="O59" i="13"/>
  <c r="U59" i="13"/>
  <c r="X105" i="13"/>
  <c r="Q105" i="13"/>
  <c r="P105" i="13"/>
  <c r="O105" i="13"/>
  <c r="U105" i="13"/>
  <c r="T105" i="13"/>
  <c r="AA69" i="13"/>
  <c r="AB69" i="13"/>
  <c r="AJ69" i="13"/>
  <c r="AK69" i="13" s="1"/>
  <c r="AB105" i="13"/>
  <c r="AJ105" i="13"/>
  <c r="AL105" i="13" s="1"/>
  <c r="AB107" i="13"/>
  <c r="X107" i="13"/>
  <c r="AJ107" i="13"/>
  <c r="AL107" i="13" s="1"/>
  <c r="AA105" i="13"/>
  <c r="AJ93" i="13"/>
  <c r="AK93" i="13" s="1"/>
  <c r="X93" i="13"/>
  <c r="AA71" i="13"/>
  <c r="AB71" i="13"/>
  <c r="AJ71" i="13"/>
  <c r="AK71" i="13" s="1"/>
  <c r="AA93" i="13"/>
  <c r="AJ110" i="13"/>
  <c r="AK110" i="13" s="1"/>
  <c r="X109" i="13"/>
  <c r="AB57" i="13"/>
  <c r="X74" i="13"/>
  <c r="AB74" i="13"/>
  <c r="AB109" i="13"/>
  <c r="AJ74" i="13"/>
  <c r="AK74" i="13" s="1"/>
  <c r="AJ109" i="13"/>
  <c r="AK109" i="13" s="1"/>
  <c r="X110" i="13"/>
  <c r="AA110" i="13"/>
  <c r="X59" i="13"/>
  <c r="AB59" i="13"/>
  <c r="AJ86" i="13"/>
  <c r="AK86" i="13" s="1"/>
  <c r="AJ59" i="13"/>
  <c r="AK59" i="13" s="1"/>
  <c r="AA86" i="13"/>
  <c r="AJ111" i="13"/>
  <c r="AN111" i="13" s="1"/>
  <c r="AB111" i="13"/>
  <c r="X111" i="13"/>
  <c r="X86" i="13"/>
  <c r="AB86" i="13"/>
  <c r="AJ97" i="13"/>
  <c r="AL97" i="13" s="1"/>
  <c r="AM97" i="13" s="1"/>
  <c r="X97" i="13"/>
  <c r="AB97" i="13"/>
  <c r="AA97" i="13"/>
  <c r="AE23" i="13"/>
  <c r="AB35" i="13"/>
  <c r="AJ35" i="13"/>
  <c r="AK35" i="13" s="1"/>
  <c r="AA35" i="13"/>
  <c r="AK52" i="13"/>
  <c r="AN103" i="13"/>
  <c r="AL104" i="13"/>
  <c r="AM104" i="13" s="1"/>
  <c r="AK94" i="13"/>
  <c r="AL73" i="13"/>
  <c r="AM73" i="13" s="1"/>
  <c r="AK48" i="13"/>
  <c r="AL68" i="13"/>
  <c r="AM68" i="13" s="1"/>
  <c r="AK100" i="13"/>
  <c r="AK64" i="13"/>
  <c r="AL103" i="13"/>
  <c r="AM103" i="13" s="1"/>
  <c r="AL100" i="13"/>
  <c r="AM100" i="13" s="1"/>
  <c r="AL64" i="13"/>
  <c r="AM64" i="13" s="1"/>
  <c r="AK73" i="13"/>
  <c r="AQ24" i="13"/>
  <c r="AN91" i="13"/>
  <c r="AN67" i="13"/>
  <c r="S35" i="13" a="1"/>
  <c r="S35" i="13" s="1"/>
  <c r="T35" i="13" s="1"/>
  <c r="W35" i="13" a="1"/>
  <c r="AQ27" i="13"/>
  <c r="AK101" i="13"/>
  <c r="AL47" i="13"/>
  <c r="AM47" i="13" s="1"/>
  <c r="AK77" i="13"/>
  <c r="AQ23" i="13"/>
  <c r="AT23" i="13" s="1"/>
  <c r="AK84" i="13"/>
  <c r="AL112" i="13"/>
  <c r="AM112" i="13" s="1"/>
  <c r="AK96" i="13"/>
  <c r="AL52" i="13"/>
  <c r="AM52" i="13" s="1"/>
  <c r="AL55" i="13"/>
  <c r="AM55" i="13" s="1"/>
  <c r="AL83" i="13"/>
  <c r="AM83" i="13" s="1"/>
  <c r="AL91" i="13"/>
  <c r="AM91" i="13" s="1"/>
  <c r="AK63" i="13"/>
  <c r="AL98" i="13"/>
  <c r="AM98" i="13" s="1"/>
  <c r="AL116" i="13"/>
  <c r="AM116" i="13" s="1"/>
  <c r="AQ26" i="13"/>
  <c r="AK92" i="13"/>
  <c r="AK60" i="13"/>
  <c r="AK55" i="13"/>
  <c r="AK108" i="13"/>
  <c r="AL53" i="13"/>
  <c r="AM53" i="13" s="1"/>
  <c r="AK99" i="13"/>
  <c r="AL95" i="13"/>
  <c r="AM95" i="13" s="1"/>
  <c r="AL49" i="13"/>
  <c r="AM49" i="13" s="1"/>
  <c r="AL46" i="13"/>
  <c r="AM46" i="13" s="1"/>
  <c r="AL85" i="13"/>
  <c r="AM85" i="13" s="1"/>
  <c r="AL67" i="13"/>
  <c r="AM67" i="13" s="1"/>
  <c r="AK46" i="13"/>
  <c r="AN58" i="13"/>
  <c r="AL58" i="13"/>
  <c r="AM58" i="13" s="1"/>
  <c r="AL90" i="13"/>
  <c r="AM90" i="13" s="1"/>
  <c r="AK49" i="13"/>
  <c r="AM94" i="13"/>
  <c r="AN94" i="13"/>
  <c r="AN82" i="13"/>
  <c r="AN78" i="13"/>
  <c r="AL78" i="13"/>
  <c r="AM78" i="13" s="1"/>
  <c r="AK65" i="13"/>
  <c r="AM101" i="13"/>
  <c r="AN101" i="13"/>
  <c r="AN90" i="13"/>
  <c r="AM60" i="13"/>
  <c r="AN60" i="13"/>
  <c r="AK61" i="13"/>
  <c r="AN53" i="13"/>
  <c r="AM99" i="13"/>
  <c r="AN99" i="13"/>
  <c r="AN115" i="13"/>
  <c r="AL82" i="13"/>
  <c r="AM82" i="13" s="1"/>
  <c r="AL119" i="13"/>
  <c r="AM119" i="13" s="1"/>
  <c r="AM48" i="13"/>
  <c r="AN48" i="13"/>
  <c r="AN98" i="13"/>
  <c r="AM63" i="13"/>
  <c r="AN63" i="13"/>
  <c r="AN112" i="13"/>
  <c r="AN76" i="13"/>
  <c r="AL50" i="13"/>
  <c r="AM50" i="13" s="1"/>
  <c r="AN50" i="13"/>
  <c r="AN102" i="13"/>
  <c r="AJ36" i="13"/>
  <c r="AB36" i="13"/>
  <c r="AA36" i="13"/>
  <c r="AN70" i="13"/>
  <c r="AN66" i="13"/>
  <c r="AN114" i="13"/>
  <c r="AL114" i="13"/>
  <c r="AM114" i="13" s="1"/>
  <c r="AL102" i="13"/>
  <c r="AM102" i="13" s="1"/>
  <c r="AN104" i="13"/>
  <c r="AL75" i="13"/>
  <c r="AM75" i="13" s="1"/>
  <c r="AN75" i="13"/>
  <c r="AM84" i="13"/>
  <c r="AN84" i="13"/>
  <c r="AL76" i="13"/>
  <c r="AM76" i="13" s="1"/>
  <c r="AN118" i="13"/>
  <c r="AM118" i="13"/>
  <c r="AK106" i="13"/>
  <c r="AL115" i="13"/>
  <c r="AM115" i="13" s="1"/>
  <c r="AN95" i="13"/>
  <c r="AN79" i="13"/>
  <c r="AK56" i="13"/>
  <c r="AK72" i="13"/>
  <c r="AN54" i="13"/>
  <c r="AN68" i="13"/>
  <c r="AN89" i="13"/>
  <c r="AN83" i="13"/>
  <c r="AK70" i="13"/>
  <c r="AK115" i="13"/>
  <c r="AK82" i="13"/>
  <c r="AN62" i="13"/>
  <c r="AM62" i="13"/>
  <c r="AN106" i="13"/>
  <c r="AM106" i="13"/>
  <c r="AN65" i="13"/>
  <c r="AM65" i="13"/>
  <c r="AL66" i="13"/>
  <c r="AM66" i="13" s="1"/>
  <c r="AM108" i="13"/>
  <c r="AN108" i="13"/>
  <c r="AL70" i="13"/>
  <c r="AM70" i="13" s="1"/>
  <c r="AN81" i="13"/>
  <c r="AN47" i="13"/>
  <c r="AN113" i="13"/>
  <c r="AN61" i="13"/>
  <c r="AM61" i="13"/>
  <c r="AM88" i="13"/>
  <c r="AN88" i="13"/>
  <c r="AN116" i="13"/>
  <c r="AL51" i="13"/>
  <c r="AM51" i="13" s="1"/>
  <c r="AN51" i="13"/>
  <c r="AM56" i="13"/>
  <c r="AN56" i="13"/>
  <c r="AM72" i="13"/>
  <c r="AN72" i="13"/>
  <c r="AL81" i="13"/>
  <c r="AM81" i="13" s="1"/>
  <c r="AL89" i="13"/>
  <c r="AM89" i="13" s="1"/>
  <c r="AM77" i="13"/>
  <c r="AN77" i="13"/>
  <c r="AN85" i="13"/>
  <c r="AK88" i="13"/>
  <c r="AK118" i="13"/>
  <c r="AM80" i="13"/>
  <c r="AN80" i="13"/>
  <c r="AM96" i="13"/>
  <c r="AN96" i="13"/>
  <c r="AN119" i="13"/>
  <c r="AL87" i="13"/>
  <c r="AM87" i="13" s="1"/>
  <c r="AN87" i="13"/>
  <c r="AM92" i="13"/>
  <c r="AN92" i="13"/>
  <c r="AK80" i="13"/>
  <c r="AK62" i="13"/>
  <c r="AL113" i="13"/>
  <c r="AM113" i="13" s="1"/>
  <c r="AL54" i="13"/>
  <c r="AM54" i="13" s="1"/>
  <c r="AL79" i="13"/>
  <c r="AM79" i="13" s="1"/>
  <c r="Y48" i="13" l="1"/>
  <c r="Y60" i="13"/>
  <c r="Y72" i="13"/>
  <c r="Y84" i="13"/>
  <c r="Y96" i="13"/>
  <c r="Y108" i="13"/>
  <c r="Y66" i="13"/>
  <c r="Y56" i="13"/>
  <c r="Y92" i="13"/>
  <c r="Y116" i="13"/>
  <c r="Y71" i="13"/>
  <c r="Y49" i="13"/>
  <c r="Y61" i="13"/>
  <c r="Y73" i="13"/>
  <c r="Y85" i="13"/>
  <c r="Y97" i="13"/>
  <c r="Y109" i="13"/>
  <c r="Y90" i="13"/>
  <c r="Y44" i="13"/>
  <c r="Y59" i="13"/>
  <c r="Y83" i="13"/>
  <c r="Y50" i="13"/>
  <c r="Y62" i="13"/>
  <c r="Y74" i="13"/>
  <c r="Y86" i="13"/>
  <c r="Y98" i="13"/>
  <c r="Y110" i="13"/>
  <c r="Y102" i="13"/>
  <c r="Y104" i="13"/>
  <c r="Y107" i="13"/>
  <c r="Y51" i="13"/>
  <c r="Y63" i="13"/>
  <c r="Y75" i="13"/>
  <c r="Y87" i="13"/>
  <c r="Y99" i="13"/>
  <c r="Y111" i="13"/>
  <c r="Y78" i="13"/>
  <c r="Y95" i="13"/>
  <c r="Y52" i="13"/>
  <c r="Y64" i="13"/>
  <c r="Y76" i="13"/>
  <c r="Y88" i="13"/>
  <c r="Y100" i="13"/>
  <c r="Y112" i="13"/>
  <c r="Y41" i="13"/>
  <c r="Y53" i="13"/>
  <c r="Y65" i="13"/>
  <c r="Y77" i="13"/>
  <c r="Y89" i="13"/>
  <c r="Y101" i="13"/>
  <c r="Y113" i="13"/>
  <c r="Y54" i="13"/>
  <c r="Y80" i="13"/>
  <c r="Y42" i="13"/>
  <c r="Y114" i="13"/>
  <c r="Y68" i="13"/>
  <c r="Y119" i="13"/>
  <c r="Y43" i="13"/>
  <c r="Y55" i="13"/>
  <c r="Y67" i="13"/>
  <c r="Y79" i="13"/>
  <c r="Y91" i="13"/>
  <c r="Y103" i="13"/>
  <c r="Y115" i="13"/>
  <c r="Y45" i="13"/>
  <c r="Y57" i="13"/>
  <c r="Y69" i="13"/>
  <c r="Y81" i="13"/>
  <c r="Y93" i="13"/>
  <c r="Y105" i="13"/>
  <c r="Y117" i="13"/>
  <c r="Y46" i="13"/>
  <c r="Y58" i="13"/>
  <c r="Y70" i="13"/>
  <c r="Y82" i="13"/>
  <c r="Y94" i="13"/>
  <c r="Y106" i="13"/>
  <c r="Y118" i="13"/>
  <c r="Y47" i="13"/>
  <c r="AN57" i="13"/>
  <c r="AL57" i="13"/>
  <c r="AM57" i="13" s="1"/>
  <c r="AN117" i="13"/>
  <c r="AN105" i="13"/>
  <c r="AM105" i="13"/>
  <c r="AL117" i="13"/>
  <c r="AM117" i="13" s="1"/>
  <c r="AN69" i="13"/>
  <c r="AL69" i="13"/>
  <c r="AM69" i="13" s="1"/>
  <c r="B38" i="13"/>
  <c r="T37" i="13"/>
  <c r="T36" i="13"/>
  <c r="AK105" i="13"/>
  <c r="AL111" i="13"/>
  <c r="AM111" i="13" s="1"/>
  <c r="AK107" i="13"/>
  <c r="AN107" i="13"/>
  <c r="AM107" i="13"/>
  <c r="AN93" i="13"/>
  <c r="AN71" i="13"/>
  <c r="AL93" i="13"/>
  <c r="AM93" i="13" s="1"/>
  <c r="AL86" i="13"/>
  <c r="AM86" i="13" s="1"/>
  <c r="AL110" i="13"/>
  <c r="AM110" i="13" s="1"/>
  <c r="AN110" i="13"/>
  <c r="AL71" i="13"/>
  <c r="AM71" i="13" s="1"/>
  <c r="AL74" i="13"/>
  <c r="AM74" i="13" s="1"/>
  <c r="AN74" i="13"/>
  <c r="AN109" i="13"/>
  <c r="AK111" i="13"/>
  <c r="AL109" i="13"/>
  <c r="AM109" i="13" s="1"/>
  <c r="AN59" i="13"/>
  <c r="AN86" i="13"/>
  <c r="AL59" i="13"/>
  <c r="AM59" i="13" s="1"/>
  <c r="AN97" i="13"/>
  <c r="AK97" i="13"/>
  <c r="AQ25" i="13"/>
  <c r="W35" i="13"/>
  <c r="X35" i="13" s="1"/>
  <c r="AK36" i="13"/>
  <c r="AJ37" i="13"/>
  <c r="AA37" i="13"/>
  <c r="AB37" i="13"/>
  <c r="B39" i="13" l="1"/>
  <c r="T38" i="13"/>
  <c r="X37" i="13"/>
  <c r="X36" i="13"/>
  <c r="AJ38" i="13"/>
  <c r="X38" i="13"/>
  <c r="AA38" i="13"/>
  <c r="AB38" i="13"/>
  <c r="AK37" i="13"/>
  <c r="B40" i="13" l="1"/>
  <c r="T39" i="13"/>
  <c r="AK38" i="13"/>
  <c r="AJ39" i="13"/>
  <c r="AK39" i="13" s="1"/>
  <c r="AB39" i="13"/>
  <c r="X39" i="13"/>
  <c r="AA39" i="13"/>
  <c r="B41" i="13" l="1"/>
  <c r="T40" i="13"/>
  <c r="AB40" i="13"/>
  <c r="AA40" i="13"/>
  <c r="X40" i="13"/>
  <c r="AJ40" i="13"/>
  <c r="T41" i="13" l="1"/>
  <c r="AJ41" i="13"/>
  <c r="AK41" i="13" s="1"/>
  <c r="B42" i="13"/>
  <c r="AA41" i="13"/>
  <c r="AB41" i="13"/>
  <c r="X41" i="13"/>
  <c r="AK40" i="13"/>
  <c r="T42" i="13" l="1"/>
  <c r="AJ42" i="13"/>
  <c r="AK42" i="13" s="1"/>
  <c r="B43" i="13"/>
  <c r="AB42" i="13"/>
  <c r="AA42" i="13"/>
  <c r="X42" i="13"/>
  <c r="V102" i="13"/>
  <c r="V96" i="13"/>
  <c r="V60" i="13"/>
  <c r="V46" i="13"/>
  <c r="V111" i="13"/>
  <c r="V109" i="13"/>
  <c r="V70" i="13"/>
  <c r="V69" i="13"/>
  <c r="V78" i="13"/>
  <c r="V117" i="13"/>
  <c r="V52" i="13"/>
  <c r="V104" i="13"/>
  <c r="V53" i="13"/>
  <c r="V80" i="13"/>
  <c r="V97" i="13"/>
  <c r="V74" i="13"/>
  <c r="V49" i="13"/>
  <c r="V107" i="13"/>
  <c r="V118" i="13"/>
  <c r="V98" i="13"/>
  <c r="V73" i="13"/>
  <c r="V85" i="13"/>
  <c r="V90" i="13"/>
  <c r="V101" i="13"/>
  <c r="V110" i="13"/>
  <c r="V87" i="13"/>
  <c r="V61" i="13"/>
  <c r="V84" i="13"/>
  <c r="V79" i="13"/>
  <c r="V62" i="13"/>
  <c r="V57" i="13"/>
  <c r="V105" i="13"/>
  <c r="V116" i="13"/>
  <c r="V48" i="13"/>
  <c r="V67" i="13"/>
  <c r="V92" i="13"/>
  <c r="V89" i="13"/>
  <c r="V75" i="13"/>
  <c r="V114" i="13"/>
  <c r="V91" i="13"/>
  <c r="V115" i="13"/>
  <c r="V59" i="13"/>
  <c r="V68" i="13"/>
  <c r="V95" i="13"/>
  <c r="V86" i="13"/>
  <c r="V82" i="13"/>
  <c r="V112" i="13"/>
  <c r="V63" i="13"/>
  <c r="V47" i="13"/>
  <c r="V77" i="13"/>
  <c r="V81" i="13"/>
  <c r="V88" i="13"/>
  <c r="V66" i="13"/>
  <c r="V76" i="13"/>
  <c r="V55" i="13"/>
  <c r="V56" i="13"/>
  <c r="V58" i="13"/>
  <c r="V93" i="13"/>
  <c r="V51" i="13"/>
  <c r="V100" i="13"/>
  <c r="V64" i="13"/>
  <c r="V106" i="13"/>
  <c r="V71" i="13"/>
  <c r="V119" i="13"/>
  <c r="V83" i="13"/>
  <c r="V103" i="13"/>
  <c r="V50" i="13"/>
  <c r="V54" i="13"/>
  <c r="V72" i="13"/>
  <c r="V108" i="13"/>
  <c r="V94" i="13"/>
  <c r="V113" i="13"/>
  <c r="V99" i="13"/>
  <c r="V65" i="13"/>
  <c r="T43" i="13" l="1"/>
  <c r="AJ43" i="13"/>
  <c r="AB43" i="13"/>
  <c r="X43" i="13"/>
  <c r="AA43" i="13"/>
  <c r="B44" i="13"/>
  <c r="T44" i="13" l="1"/>
  <c r="B45" i="13"/>
  <c r="AJ44" i="13"/>
  <c r="AB44" i="13"/>
  <c r="AA44" i="13"/>
  <c r="X44" i="13"/>
  <c r="AK43" i="13"/>
  <c r="T45" i="13" l="1"/>
  <c r="T27" i="13" s="1"/>
  <c r="T24" i="13" s="1"/>
  <c r="X45" i="13"/>
  <c r="X27" i="13" s="1"/>
  <c r="X24" i="13" s="1"/>
  <c r="AB45" i="13"/>
  <c r="AB24" i="13" s="1"/>
  <c r="AJ45" i="13"/>
  <c r="AK45" i="13" s="1"/>
  <c r="AA45" i="13"/>
  <c r="AB23" i="13" s="1"/>
  <c r="C25" i="13"/>
  <c r="O35" i="13" s="1"/>
  <c r="AK44" i="13"/>
  <c r="C22" i="13" l="1"/>
  <c r="B20" i="15" s="1"/>
  <c r="P16" i="13"/>
  <c r="AL36" i="13"/>
  <c r="AN36" i="13" s="1"/>
  <c r="AL44" i="13"/>
  <c r="AN44" i="13" s="1"/>
  <c r="AL41" i="13"/>
  <c r="AM41" i="13" s="1"/>
  <c r="AL45" i="13"/>
  <c r="AM45" i="13" s="1"/>
  <c r="AL42" i="13"/>
  <c r="AN42" i="13" s="1"/>
  <c r="AL38" i="13"/>
  <c r="T28" i="13"/>
  <c r="O36" i="13"/>
  <c r="O37" i="13"/>
  <c r="O38" i="13"/>
  <c r="O39" i="13"/>
  <c r="O40" i="13"/>
  <c r="O41" i="13"/>
  <c r="P24" i="13"/>
  <c r="AB26" i="13"/>
  <c r="C23" i="13"/>
  <c r="B21" i="15" s="1"/>
  <c r="AB25" i="13"/>
  <c r="K33" i="13"/>
  <c r="D23" i="13"/>
  <c r="C21" i="15" s="1"/>
  <c r="E23" i="13"/>
  <c r="D21" i="15" s="1"/>
  <c r="F23" i="13"/>
  <c r="E21" i="15" s="1"/>
  <c r="X28" i="13"/>
  <c r="F22" i="13"/>
  <c r="E20" i="15" s="1"/>
  <c r="AT24" i="13"/>
  <c r="D22" i="13"/>
  <c r="C20" i="15" s="1"/>
  <c r="AK23" i="13"/>
  <c r="AK27" i="13" s="1"/>
  <c r="AK28" i="13" s="1"/>
  <c r="AK29" i="13" s="1"/>
  <c r="E22" i="13"/>
  <c r="D20" i="15" s="1"/>
  <c r="B23" i="15"/>
  <c r="O42" i="13"/>
  <c r="O43" i="13"/>
  <c r="O44" i="13"/>
  <c r="AL43" i="13"/>
  <c r="AL35" i="13"/>
  <c r="AL39" i="13"/>
  <c r="AL37" i="13"/>
  <c r="AL40" i="13"/>
  <c r="O45" i="13"/>
  <c r="AM40" i="13" l="1"/>
  <c r="AN40" i="13"/>
  <c r="AM43" i="13"/>
  <c r="AN43" i="13"/>
  <c r="AM38" i="13"/>
  <c r="AN38" i="13"/>
  <c r="E27" i="13"/>
  <c r="C27" i="13"/>
  <c r="AN45" i="13"/>
  <c r="AN41" i="13"/>
  <c r="AM44" i="13"/>
  <c r="AM42" i="13"/>
  <c r="AM36" i="13"/>
  <c r="AM35" i="13"/>
  <c r="AN35" i="13"/>
  <c r="AB27" i="13"/>
  <c r="AB28" i="13" s="1"/>
  <c r="AB29" i="13" s="1"/>
  <c r="AN39" i="13"/>
  <c r="AM39" i="13"/>
  <c r="AN37" i="13"/>
  <c r="AM37" i="13"/>
  <c r="P36" i="13"/>
  <c r="P37" i="13"/>
  <c r="P38" i="13"/>
  <c r="P39" i="13"/>
  <c r="P40" i="13"/>
  <c r="P41" i="13"/>
  <c r="P35" i="13"/>
  <c r="P42" i="13"/>
  <c r="P43" i="13"/>
  <c r="P44" i="13"/>
  <c r="Q44" i="13" s="1"/>
  <c r="P45" i="13"/>
  <c r="Q45" i="13" s="1"/>
  <c r="C30" i="13"/>
  <c r="AK24" i="13" l="1"/>
  <c r="AK25" i="13"/>
  <c r="U44" i="13"/>
  <c r="E30" i="13"/>
  <c r="B37" i="15"/>
  <c r="U45" i="13"/>
  <c r="AK26" i="13" l="1"/>
  <c r="AN23" i="13" s="1"/>
  <c r="AN24" i="13" s="1"/>
  <c r="U43" i="13" l="1"/>
  <c r="Q41" i="13"/>
  <c r="U41" i="13" s="1"/>
  <c r="Q42" i="13"/>
  <c r="Q39" i="13"/>
  <c r="Q40" i="13"/>
  <c r="Y40" i="13" s="1"/>
  <c r="Y39" i="13" l="1"/>
  <c r="U42" i="13"/>
  <c r="U39" i="13"/>
  <c r="U40" i="13"/>
  <c r="Q43" i="13" l="1"/>
  <c r="Q38" i="13" l="1"/>
  <c r="U38" i="13" l="1"/>
  <c r="Y38" i="13"/>
  <c r="Q35" i="13" l="1"/>
  <c r="U35" i="13" s="1"/>
  <c r="Y35" i="13" l="1"/>
  <c r="Q36" i="13" l="1"/>
  <c r="Y36" i="13" s="1"/>
  <c r="P23" i="13"/>
  <c r="Q37" i="13" s="1"/>
  <c r="U36" i="13" l="1"/>
  <c r="Y37" i="13"/>
  <c r="X31" i="13" s="1"/>
  <c r="X23" i="13" s="1"/>
  <c r="X25" i="13" s="1"/>
  <c r="X26" i="13" s="1"/>
  <c r="X29" i="13" s="1"/>
  <c r="X30" i="13" s="1"/>
  <c r="U37" i="13"/>
  <c r="T31" i="13" l="1"/>
  <c r="T23" i="13" s="1"/>
  <c r="T25" i="13" s="1"/>
  <c r="T26" i="13" s="1"/>
  <c r="T29" i="13" s="1"/>
  <c r="T30" i="13" s="1"/>
  <c r="C26" i="13" s="1"/>
  <c r="E26" i="13" l="1"/>
  <c r="C29" i="13" a="1"/>
  <c r="C29" i="13" s="1"/>
  <c r="E29" i="13" s="1" a="1"/>
  <c r="E29" i="13" s="1"/>
  <c r="AH23" i="13" a="1"/>
  <c r="AH23" i="13" s="1"/>
  <c r="C28" i="13" s="1"/>
  <c r="B31" i="15"/>
  <c r="B29" i="15"/>
  <c r="E28" i="13" l="1" a="1"/>
  <c r="E28" i="13" s="1"/>
  <c r="B33" i="15"/>
  <c r="B35" i="15" a="1"/>
  <c r="B35" i="15" s="1"/>
  <c r="A32" i="15" a="1"/>
  <c r="A32" i="15" s="1"/>
  <c r="A40" i="15" l="1" a="1"/>
  <c r="A40"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tc={BC372544-D94E-4C57-BEEF-21BDA9C8F7C6}</author>
  </authors>
  <commentList>
    <comment ref="A10" authorId="0" shapeId="0" xr:uid="{BC372544-D94E-4C57-BEEF-21BDA9C8F7C6}">
      <text>
        <t xml:space="preserve">[Threaded comment]
Your version of Excel allows you to read this threaded comment; however, any edits to it will get removed if the file is opened in a newer version of Excel. Learn more: https://go.microsoft.com/fwlink/?linkid=870924
Comment:
    Merge these into one table. You can reference a table column from a table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<sst xmlns="http://schemas.openxmlformats.org/spreadsheetml/2006/main" count="660" uniqueCount="491">
  <si>
    <t>Tool Instructions and Layout</t>
  </si>
  <si>
    <t xml:space="preserve">This tool provides a preliminary determination on whether the conservation practice being monitored has an effect on a water quality parameter. </t>
  </si>
  <si>
    <t>Description of Features</t>
  </si>
  <si>
    <t>Section - Activity Data Entry: User enters describing the activity and the type of anlysis being performed</t>
  </si>
  <si>
    <t>Ref #</t>
  </si>
  <si>
    <t>Name</t>
  </si>
  <si>
    <t>Type</t>
  </si>
  <si>
    <t>Description</t>
  </si>
  <si>
    <t>Clear All Values</t>
  </si>
  <si>
    <t>Button</t>
  </si>
  <si>
    <t>Clear all user-entered values in the Project Data Entry and Sample Data Entry sections.</t>
  </si>
  <si>
    <t>Cell Lengend</t>
  </si>
  <si>
    <t>Reference</t>
  </si>
  <si>
    <t>Code of each cell's color, which were created to guide the user through the tool and change automatically as users fill out cells. The colors are defined as followed: red cells are required to be filled out by the user, but have not been completed yet; green cells are required to be filled out by the user and have been completed already; yellow cells can be filled out by the user, but are not required for proper tool function; blue cells are autopopulated and cannot be edited by user.</t>
  </si>
  <si>
    <t>Monitoring Activity ID</t>
  </si>
  <si>
    <t>User Entered</t>
  </si>
  <si>
    <t>A 7 character ID assigned to each project by NRCS- WQMT.</t>
  </si>
  <si>
    <t>User Initials</t>
  </si>
  <si>
    <t>Initials of entity using this reporting tool and associated with activity.</t>
  </si>
  <si>
    <t>Monitoring Design</t>
  </si>
  <si>
    <t>User Selected</t>
  </si>
  <si>
    <t>Type of design of project; determines type of T-Test or non-parametric test used by tool. The options are defined as following: side by side are projects evaluating separate watersheds and consist of a control (no conservation practice) and treatment (conservation practice) watersheds; above and below are projects evaluating one watershed that compare the control (unaffected by conservation practice) and treatment (affected by conservation practice) sections.</t>
  </si>
  <si>
    <t>Control Station ID</t>
  </si>
  <si>
    <t>Nine character alphanumeric station ID assigned by NRCS-WQMT to the control station.</t>
  </si>
  <si>
    <t>Control Area (ac)</t>
  </si>
  <si>
    <t xml:space="preserve">The number of acres that discharge to the control station. Optional, dependant on metric. </t>
  </si>
  <si>
    <t>CPS Code</t>
  </si>
  <si>
    <t>Conservation practice standard code for the treatment that is being evaluated by the project.</t>
  </si>
  <si>
    <t>Treatment Station ID</t>
  </si>
  <si>
    <t>Alphanumeric station ID assigned by NRCS to the treatment station.</t>
  </si>
  <si>
    <t>Treatment Area (ac)</t>
  </si>
  <si>
    <t xml:space="preserve">The number of acres that discharge to the treatment station. Optional, dependant on metric. </t>
  </si>
  <si>
    <t>Significance Level</t>
  </si>
  <si>
    <t>The alpha level, defined as the probability of rejecting the null hypothesis when the null hypothesis is true (probability of false positive aka the wrong answer); results above this pre-determined level are determined to be "not significant" and the evaluated treatment deemed to have no effect. The lower the level, the lower the chance of "significant" results. The standard level used in scientific publications is 0.05;  p-values between 0.05 and 0.1 are often described as "marginally significant" in ecological studies.</t>
  </si>
  <si>
    <t>Parameter</t>
  </si>
  <si>
    <t>Water quality parameter that the data is associated with.</t>
  </si>
  <si>
    <t>Metric</t>
  </si>
  <si>
    <t>Specify what quantity will be assessed</t>
  </si>
  <si>
    <t>Units</t>
  </si>
  <si>
    <t>Auto-Populated</t>
  </si>
  <si>
    <t>Units associated with the water quality parameter; Autopopulated (no input required).</t>
  </si>
  <si>
    <t>Treatment Description</t>
  </si>
  <si>
    <t>Brief description of how CPS is being tested. Be quantitative when possible.</t>
  </si>
  <si>
    <t>Section - Statistical Output &amp; Results: Results from analyses and brief explanations will be displayed in this section</t>
  </si>
  <si>
    <t>Print Report</t>
  </si>
  <si>
    <t>Button that will go to the print preview of the "printout" sheet.</t>
  </si>
  <si>
    <t>Mean</t>
  </si>
  <si>
    <t>Mean of the control and treatment data.</t>
  </si>
  <si>
    <t>Variance</t>
  </si>
  <si>
    <t>Variance of the control and treatment data.</t>
  </si>
  <si>
    <t>Median</t>
  </si>
  <si>
    <t>Median of the control and treatment data.</t>
  </si>
  <si>
    <t>IQR</t>
  </si>
  <si>
    <t>Interquartile range, specifically middle 50% fourth spread or the difference between the 75th and 25th percentiles, of the control and treatment data.</t>
  </si>
  <si>
    <t>Count</t>
  </si>
  <si>
    <t>Event sample size.</t>
  </si>
  <si>
    <t>Normality</t>
  </si>
  <si>
    <r>
      <t xml:space="preserve">Determines whether data is normal or not normal based on the Shapiro-Wilk Royston test; determines whether to use T-Test or nonparametric test; minimum sample size n </t>
    </r>
    <r>
      <rPr>
        <sz val="11"/>
        <color theme="1"/>
        <rFont val="Calibri"/>
        <family val="2"/>
      </rPr>
      <t>≥ 4</t>
    </r>
    <r>
      <rPr>
        <sz val="11"/>
        <color theme="1"/>
        <rFont val="Calibri"/>
        <family val="2"/>
        <scheme val="minor"/>
      </rPr>
      <t>.</t>
    </r>
  </si>
  <si>
    <t>Determines whether variances of the control and treatment data are equal; determines which independent samples (side by side monitoring design) T-Test to use.</t>
  </si>
  <si>
    <t>T-Test</t>
  </si>
  <si>
    <t>T-Test results showing whether control and treatment data are significantly different based on the alpha level chosen in "Significance Level"; type of T-Test used is determined by "Monitoring Design": independent sample T-Test for "Side by Side," paired sample T-Test for "Above and Below."</t>
  </si>
  <si>
    <t>Non-Parametric</t>
  </si>
  <si>
    <t>Will display as "Mann-Whitney U" or "Wilcoxon Signed-Rank" depending on data distribution and monitoring design: Non-parametric test results showing whether control and treatment data are significantly different based on the alpha level chosen in "Significance Level"; only shows results if data is not normal; is determined by "Monitoring Design": if "Side by Side" then Mann-Whitney U test result shown, if "Above and Below" then Wilcoxon Signed-Rank test result is shown.</t>
  </si>
  <si>
    <t>Critical Difference</t>
  </si>
  <si>
    <t>The critical value, is the smallest significant difference between two means (comparison of two means rather than two groups as a whole). It is used to prove differences between means. This calculation uses Fisher's LSD (Least Significant Difference) formula.</t>
  </si>
  <si>
    <t>27-31</t>
  </si>
  <si>
    <t>Descriptive Results</t>
  </si>
  <si>
    <t>Explains test results in more detail, including p-value.</t>
  </si>
  <si>
    <t>Sample Data Entry: This is the table where the user enters data which will be used for all statistical tests in the tool. At least 5 entries must be completed to satisfy minimum sample requirements.</t>
  </si>
  <si>
    <t>Clear Table Values</t>
  </si>
  <si>
    <t>Button that will clear the user-entered values only in the Sample Data Entry section.</t>
  </si>
  <si>
    <t>Sample #</t>
  </si>
  <si>
    <t>Number of each sample entry, autopopulated when "Date," "Control Value," and "Treatment Value" are filled out.</t>
  </si>
  <si>
    <t>Date</t>
  </si>
  <si>
    <t>Date of sample collection.</t>
  </si>
  <si>
    <t>Ctrl Flow (ft3/cfs)</t>
  </si>
  <si>
    <t>The discharge in cubic feet that was measured at the control site. Required if analyzing load or yield.</t>
  </si>
  <si>
    <t>Ctrl Conc (mg/l)</t>
  </si>
  <si>
    <t>Concentration of the water quality parameter (see "Parameter" and "Units") that was collected at the control site.</t>
  </si>
  <si>
    <t>Trmt Flow (ft3/cfs)</t>
  </si>
  <si>
    <t>The discharge in cubic feet that was measured at the treatment site. Required if analyzing load or yield.</t>
  </si>
  <si>
    <t>Trmt Conc (mg/l)</t>
  </si>
  <si>
    <t>Concentration of the water quality parameter (see "Parameter" and "Units") that was collected at the treatment site.</t>
  </si>
  <si>
    <t>Complete</t>
  </si>
  <si>
    <t>Marks whether all values for sample entry are completed; autopopulated when "Date," "Control Value," and "Treatment Value" are filled out.</t>
  </si>
  <si>
    <t>Activity Data Entry</t>
  </si>
  <si>
    <t>Cell Legend:</t>
  </si>
  <si>
    <t>Required</t>
  </si>
  <si>
    <t>Optional</t>
  </si>
  <si>
    <t>Autopopulated</t>
  </si>
  <si>
    <t>Monitorying Activity ID</t>
  </si>
  <si>
    <t>Calc Switch</t>
  </si>
  <si>
    <t>calc_test</t>
  </si>
  <si>
    <t>min_cnt</t>
  </si>
  <si>
    <t>dummy string val</t>
  </si>
  <si>
    <t>Please Select...</t>
  </si>
  <si>
    <t>Statistical Output &amp; Results</t>
  </si>
  <si>
    <t>SWR Test</t>
  </si>
  <si>
    <t>Mann-Whitney U Test</t>
  </si>
  <si>
    <t>F-Test</t>
  </si>
  <si>
    <t>Wilcoxon Signed Rank Test</t>
  </si>
  <si>
    <t>Critical Value/Difference</t>
  </si>
  <si>
    <t>Control</t>
  </si>
  <si>
    <t xml:space="preserve">Universal values for </t>
  </si>
  <si>
    <t>Treatment</t>
  </si>
  <si>
    <t>φ =</t>
  </si>
  <si>
    <t>W_numerator</t>
  </si>
  <si>
    <t>R1=</t>
  </si>
  <si>
    <t>p-value=</t>
  </si>
  <si>
    <t>n=</t>
  </si>
  <si>
    <t>z-score=</t>
  </si>
  <si>
    <t>df_w=</t>
  </si>
  <si>
    <t>Fisher LSD SF=</t>
  </si>
  <si>
    <t>σ=</t>
  </si>
  <si>
    <t>W_denominator</t>
  </si>
  <si>
    <t>R2=</t>
  </si>
  <si>
    <t>pos rank sum=</t>
  </si>
  <si>
    <t>SS_w=</t>
  </si>
  <si>
    <t xml:space="preserve">CV= </t>
  </si>
  <si>
    <t>Result</t>
  </si>
  <si>
    <t>W=</t>
  </si>
  <si>
    <t>U1=</t>
  </si>
  <si>
    <t>neg rank sum=</t>
  </si>
  <si>
    <t>MS_w=</t>
  </si>
  <si>
    <t>w=</t>
  </si>
  <si>
    <t>U2=</t>
  </si>
  <si>
    <t>T=</t>
  </si>
  <si>
    <t>N_control=</t>
  </si>
  <si>
    <t>Denominator:</t>
  </si>
  <si>
    <t>U=</t>
  </si>
  <si>
    <t>mean=</t>
  </si>
  <si>
    <t>N_trtment=</t>
  </si>
  <si>
    <t>μ=</t>
  </si>
  <si>
    <t>z=</t>
  </si>
  <si>
    <t>variance=</t>
  </si>
  <si>
    <t>std dev=</t>
  </si>
  <si>
    <t>Sum_a*x:</t>
  </si>
  <si>
    <t>Values used for Calcs</t>
  </si>
  <si>
    <t>last row=</t>
  </si>
  <si>
    <t>Ctrl Conc. (mg/l)</t>
  </si>
  <si>
    <t>Trmt Conc. (mg/l)</t>
  </si>
  <si>
    <t>ct_vals</t>
  </si>
  <si>
    <t>tx_vals</t>
  </si>
  <si>
    <t>ct_plt_vals</t>
  </si>
  <si>
    <t>tx_plt_vals</t>
  </si>
  <si>
    <t>m_i</t>
  </si>
  <si>
    <t>c_i</t>
  </si>
  <si>
    <t>a_i</t>
  </si>
  <si>
    <t>sort(x_i)</t>
  </si>
  <si>
    <t>(x_i-x_bar)^2</t>
  </si>
  <si>
    <t>a_i*x_i</t>
  </si>
  <si>
    <t>control (ranks)</t>
  </si>
  <si>
    <t>trtment (ranks)</t>
  </si>
  <si>
    <t>diff</t>
  </si>
  <si>
    <t>abs_diff</t>
  </si>
  <si>
    <t>rank_abs_diff</t>
  </si>
  <si>
    <t>pos_rank</t>
  </si>
  <si>
    <t>neg_rank</t>
  </si>
  <si>
    <t xml:space="preserve">Statistical Analysis of Discrete Water Quality Samples </t>
  </si>
  <si>
    <t>Date:</t>
  </si>
  <si>
    <t>Project Information</t>
  </si>
  <si>
    <t>EQIP Contract:</t>
  </si>
  <si>
    <t>Monitoring Partner:</t>
  </si>
  <si>
    <t>Monitoring Design:</t>
  </si>
  <si>
    <t>Control Station ID:</t>
  </si>
  <si>
    <t>Treatment Station ID:</t>
  </si>
  <si>
    <t>Treatment Practice:</t>
  </si>
  <si>
    <t>Water Quality Parameter:</t>
  </si>
  <si>
    <t>Description of Treatment</t>
  </si>
  <si>
    <t>Analysis Results</t>
  </si>
  <si>
    <t>Descriptive Statistics</t>
  </si>
  <si>
    <t># of Events Sampled:</t>
  </si>
  <si>
    <t>Significance of Effect</t>
  </si>
  <si>
    <t>Significance Level (Alpha):</t>
  </si>
  <si>
    <t>The value of Alpha indicates the level of confidence that the data is significant and not due to chance.</t>
  </si>
  <si>
    <t>Normality:</t>
  </si>
  <si>
    <t>This value shows whether the data is drawn from a normal distribution (looks like a bell curve).  This value determines what statistical test is used.</t>
  </si>
  <si>
    <t>Statistical Test Used:</t>
  </si>
  <si>
    <t>Treatment Effect:</t>
  </si>
  <si>
    <t>The effect indicates the level of difference between the control and treatment sites at the level of Alpha.</t>
  </si>
  <si>
    <t>P-Value:</t>
  </si>
  <si>
    <t>The p-value is the probability of how likely that the data occurred by random chance.</t>
  </si>
  <si>
    <t>Critical Difference:</t>
  </si>
  <si>
    <t>The critical difference is the smallest significant difference between two means.</t>
  </si>
  <si>
    <t>Description of Results</t>
  </si>
  <si>
    <t>Monitoring Partner Initials:</t>
  </si>
  <si>
    <t>NRCS Control Station ID:</t>
  </si>
  <si>
    <t>NRCS Treatment Station ID:</t>
  </si>
  <si>
    <t>Figures</t>
  </si>
  <si>
    <t>Values Used by Functions in the UI</t>
  </si>
  <si>
    <t>practice</t>
  </si>
  <si>
    <t>parameter</t>
  </si>
  <si>
    <t>validation lists</t>
  </si>
  <si>
    <t>cps_code</t>
  </si>
  <si>
    <t>cps_name</t>
  </si>
  <si>
    <t>metric</t>
  </si>
  <si>
    <t>unit</t>
  </si>
  <si>
    <t>conv_fact</t>
  </si>
  <si>
    <t>params</t>
  </si>
  <si>
    <t>Alphas</t>
  </si>
  <si>
    <t>Comparison Type</t>
  </si>
  <si>
    <t>Agrichemical Handling Facility</t>
  </si>
  <si>
    <t>Qpeak</t>
  </si>
  <si>
    <t>Flow</t>
  </si>
  <si>
    <t>cfs</t>
  </si>
  <si>
    <t>Side by side</t>
  </si>
  <si>
    <t>Alley Cropping</t>
  </si>
  <si>
    <t>Qtotal</t>
  </si>
  <si>
    <t>Volume</t>
  </si>
  <si>
    <t>cu. ft.</t>
  </si>
  <si>
    <t>Above and below</t>
  </si>
  <si>
    <t>Waste Storage Facility</t>
  </si>
  <si>
    <t>Depth</t>
  </si>
  <si>
    <t>in.</t>
  </si>
  <si>
    <t>Brush Management</t>
  </si>
  <si>
    <t>Total N</t>
  </si>
  <si>
    <t>Concentration</t>
  </si>
  <si>
    <t>mg/L</t>
  </si>
  <si>
    <t>Herbaceous Weed Treatment</t>
  </si>
  <si>
    <t>Load</t>
  </si>
  <si>
    <t>lbs.</t>
  </si>
  <si>
    <t>Animal Mortality Facility</t>
  </si>
  <si>
    <t>Yield</t>
  </si>
  <si>
    <t>lbs./ac.</t>
  </si>
  <si>
    <t>Composting Facility</t>
  </si>
  <si>
    <t>NH4</t>
  </si>
  <si>
    <t xml:space="preserve">Short Term Storage of Animal Waste and </t>
  </si>
  <si>
    <t>On-Farm Secondary Containment Facility</t>
  </si>
  <si>
    <t>Irrigation Canal or Lateral</t>
  </si>
  <si>
    <t>NO3+NO2</t>
  </si>
  <si>
    <t>Deep Tillage</t>
  </si>
  <si>
    <t>High Tunnel System</t>
  </si>
  <si>
    <t>Clearing and Snagging</t>
  </si>
  <si>
    <t>TKN</t>
  </si>
  <si>
    <t>Conservation Cover</t>
  </si>
  <si>
    <t>Conservation Crop Rotation</t>
  </si>
  <si>
    <t>Residue and Tillage Management, No Till</t>
  </si>
  <si>
    <t>Total P</t>
  </si>
  <si>
    <t>Contour Farming</t>
  </si>
  <si>
    <t>Contour Orchard and Other Perennial Cro</t>
  </si>
  <si>
    <t>Contour Buffer Strips</t>
  </si>
  <si>
    <t>DRP</t>
  </si>
  <si>
    <t>Amending Soil Properties with Gypsum Pr</t>
  </si>
  <si>
    <t>Controlled Traffic Farming</t>
  </si>
  <si>
    <t>Prescribed Burning</t>
  </si>
  <si>
    <t>TSS</t>
  </si>
  <si>
    <t>Cover Crop</t>
  </si>
  <si>
    <t>Critical Area Planting</t>
  </si>
  <si>
    <t>Residue and Tillage Management, Reduced</t>
  </si>
  <si>
    <t>Dam, Diversion</t>
  </si>
  <si>
    <t>Sediment Basin</t>
  </si>
  <si>
    <t>Well Decommissioning</t>
  </si>
  <si>
    <t>Dike or Levee</t>
  </si>
  <si>
    <t>Waste Treatment Lagoon</t>
  </si>
  <si>
    <t>Waste Facility Closure</t>
  </si>
  <si>
    <t>Diversion</t>
  </si>
  <si>
    <t>Anaerobic Digestion</t>
  </si>
  <si>
    <t>Roofs and Covers</t>
  </si>
  <si>
    <t>Emergency Animal Mortality Management</t>
  </si>
  <si>
    <t>Air Filtration and Scrubbing</t>
  </si>
  <si>
    <t>Combustion System Improvement</t>
  </si>
  <si>
    <t>Dust Control on Unpaved Roads and Surfa</t>
  </si>
  <si>
    <t>Energy Efficient Agricultural Operation</t>
  </si>
  <si>
    <t>Dust Management for Pen Surfaces</t>
  </si>
  <si>
    <t>Field Operations Emissions Reduction</t>
  </si>
  <si>
    <t>Pond</t>
  </si>
  <si>
    <t>Forest Farming</t>
  </si>
  <si>
    <t>Windbreak/Shelterbelt Est/Renovation</t>
  </si>
  <si>
    <t>Silvopasture</t>
  </si>
  <si>
    <t>Fence</t>
  </si>
  <si>
    <t>Fuel Break</t>
  </si>
  <si>
    <t>Woody Residue Treatment</t>
  </si>
  <si>
    <t>Field Border</t>
  </si>
  <si>
    <t>Irrigation Field Ditch</t>
  </si>
  <si>
    <t>Riparian Herbaceous Cover</t>
  </si>
  <si>
    <t>Riparian Forest Buffer</t>
  </si>
  <si>
    <t>Filter Strip</t>
  </si>
  <si>
    <t>Firebreak</t>
  </si>
  <si>
    <t>Stream Habitat Improvement and Manageme</t>
  </si>
  <si>
    <t>Aquatic Organism Passage</t>
  </si>
  <si>
    <t>Aquaculture Pond</t>
  </si>
  <si>
    <t>Fish Raceway or Tank</t>
  </si>
  <si>
    <t>Fishpond Management</t>
  </si>
  <si>
    <t>Bivalve Aquaculture Gear and Biofouling</t>
  </si>
  <si>
    <t>Dam</t>
  </si>
  <si>
    <t>Grade Stabilization Structure</t>
  </si>
  <si>
    <t>Grassed Waterway</t>
  </si>
  <si>
    <t>Wildlife Habitat Planting</t>
  </si>
  <si>
    <t>Hedgerow Planting</t>
  </si>
  <si>
    <t>Hillside Ditch</t>
  </si>
  <si>
    <t>Irrigation Ditch Lining</t>
  </si>
  <si>
    <t>Irrigation Pipeline</t>
  </si>
  <si>
    <t>Dry Hydrant</t>
  </si>
  <si>
    <t>Irrigation Reservoir</t>
  </si>
  <si>
    <t>Irrigation System, Microirrigation</t>
  </si>
  <si>
    <t>Sprinkler System</t>
  </si>
  <si>
    <t>Irrigation System, Surface and Subsurfa</t>
  </si>
  <si>
    <t>Irrigation and Drainage Tailwater Recov</t>
  </si>
  <si>
    <t>Irrigation Water Management</t>
  </si>
  <si>
    <t>Anionic Polyacrylamide (PAM) Applicatio</t>
  </si>
  <si>
    <t>Land Reclamation, Landslide Treatment</t>
  </si>
  <si>
    <t>Land Reclamation, Toxic Discharge Ctrl</t>
  </si>
  <si>
    <t>Mine Shaft and Adit Closing</t>
  </si>
  <si>
    <t>Land Clearing</t>
  </si>
  <si>
    <t>Precision Land Forming and Smoothing</t>
  </si>
  <si>
    <t>Irrigation Land Leveling</t>
  </si>
  <si>
    <t>Lined Waterway or Outlet</t>
  </si>
  <si>
    <t>Access Control</t>
  </si>
  <si>
    <t>Mulching</t>
  </si>
  <si>
    <t>Tree/Shrub Site Preparation</t>
  </si>
  <si>
    <t>Obstruction Removal</t>
  </si>
  <si>
    <t>Forage Harvest Management</t>
  </si>
  <si>
    <t>Pasture and Hay Planting</t>
  </si>
  <si>
    <t>Livestock Pipeline</t>
  </si>
  <si>
    <t xml:space="preserve">Pond Sealing or Lining, Compacted Soil </t>
  </si>
  <si>
    <t xml:space="preserve">Pond Sealing or Lining, Geomembrane or </t>
  </si>
  <si>
    <t>Pond Sealing or Lining - Concrete</t>
  </si>
  <si>
    <t>Sinkhole Treatment</t>
  </si>
  <si>
    <t>Prescribed Grazing</t>
  </si>
  <si>
    <t>Pumping Plant</t>
  </si>
  <si>
    <t>Land Reclamation, Abandoned Mined Land</t>
  </si>
  <si>
    <t>Land Reclamation, Currently Mined Land</t>
  </si>
  <si>
    <t>Grazing Land Mechanical Treatment</t>
  </si>
  <si>
    <t>Range Planting</t>
  </si>
  <si>
    <t>Drainage Water Management</t>
  </si>
  <si>
    <t>Rock Wall Terrace</t>
  </si>
  <si>
    <t>Row Arrangement</t>
  </si>
  <si>
    <t>Roof Runoff Structure</t>
  </si>
  <si>
    <t>Access Road</t>
  </si>
  <si>
    <t>Heavy Use Area Protection</t>
  </si>
  <si>
    <t>Recreation Area Improvement</t>
  </si>
  <si>
    <t>Stormwater Runoff Control</t>
  </si>
  <si>
    <t>Spoil Disposal</t>
  </si>
  <si>
    <t>Spring Development</t>
  </si>
  <si>
    <t>Trails and Walkways</t>
  </si>
  <si>
    <t>Livestock Shelter Structure</t>
  </si>
  <si>
    <t>Streambank and Shoreline Protection</t>
  </si>
  <si>
    <t>Open Channel</t>
  </si>
  <si>
    <t>Channel Bed Stabilization</t>
  </si>
  <si>
    <t>Stripcropping</t>
  </si>
  <si>
    <t>Structure for Water Control</t>
  </si>
  <si>
    <t>Crosswind Ridges</t>
  </si>
  <si>
    <t>Cross Wind Trap Strips</t>
  </si>
  <si>
    <t>Nutrient Management</t>
  </si>
  <si>
    <t>Amendments for Treatment of Agricultura</t>
  </si>
  <si>
    <t>Feed Management</t>
  </si>
  <si>
    <t>Pest Management Conservation System</t>
  </si>
  <si>
    <t>Terrace</t>
  </si>
  <si>
    <t>Vegetative Barrier</t>
  </si>
  <si>
    <t>Herbaceous Wind Barriers</t>
  </si>
  <si>
    <t>Saturated Buffer</t>
  </si>
  <si>
    <t>Denitrifying Bioreactor</t>
  </si>
  <si>
    <t>Subsurface Drain</t>
  </si>
  <si>
    <t>Surface Drain, Field Ditch</t>
  </si>
  <si>
    <t>Surface Drain, Main or Lateral</t>
  </si>
  <si>
    <t>Surface Roughening</t>
  </si>
  <si>
    <t>Salinity and Sodic Soil Management</t>
  </si>
  <si>
    <t>Tree/Shrub Establishment</t>
  </si>
  <si>
    <t>Watering Facility</t>
  </si>
  <si>
    <t>Underground Outlet</t>
  </si>
  <si>
    <t>Waste Treatment</t>
  </si>
  <si>
    <t>Vertical Drain</t>
  </si>
  <si>
    <t>Waste Separation Facility</t>
  </si>
  <si>
    <t>Waste Recycling</t>
  </si>
  <si>
    <t>Waste Transfer</t>
  </si>
  <si>
    <t>Vegetated Treatment Area</t>
  </si>
  <si>
    <t>Water Harvesting Catchment</t>
  </si>
  <si>
    <t>Water and Sediment Control Basin</t>
  </si>
  <si>
    <t>Waterspreading</t>
  </si>
  <si>
    <t>Water Well</t>
  </si>
  <si>
    <t>Restoration of Rare or Declining Natura</t>
  </si>
  <si>
    <t>Wetland Wildlife Habitat Management</t>
  </si>
  <si>
    <t>Upland Wildlife Habitat Management</t>
  </si>
  <si>
    <t>Shallow Water Development and Managemen</t>
  </si>
  <si>
    <t>Early Successional Habitat Development-</t>
  </si>
  <si>
    <t>Structures for Wildlife</t>
  </si>
  <si>
    <t>Windbreak/Shelterbelt Renovation</t>
  </si>
  <si>
    <t>Road/Trail/Landing Closure and Treatmen</t>
  </si>
  <si>
    <t>Forest Trails and Landings</t>
  </si>
  <si>
    <t>Constructed Wetland</t>
  </si>
  <si>
    <t>Wetland Restoration</t>
  </si>
  <si>
    <t>Wetland Creation</t>
  </si>
  <si>
    <t>Wetland Enhancement</t>
  </si>
  <si>
    <t>Tree/Shrub Pruning</t>
  </si>
  <si>
    <t>Forest Stand Improvement</t>
  </si>
  <si>
    <t>Energy Efficient Lighting System</t>
  </si>
  <si>
    <t>Energy Efficient Building Envelope</t>
  </si>
  <si>
    <t>Water Treatment Facility</t>
  </si>
  <si>
    <t>Waste Gasification Facility</t>
  </si>
  <si>
    <t>Crop By-Product Transfer</t>
  </si>
  <si>
    <t>Reduced Water and Energy Coffee</t>
  </si>
  <si>
    <t>Pond Sealing and Lining, Soil Cement</t>
  </si>
  <si>
    <t>Individual Terrace</t>
  </si>
  <si>
    <t>Infiltration Ditch</t>
  </si>
  <si>
    <t>Well Plugging</t>
  </si>
  <si>
    <t>Livestock Confinement Facility</t>
  </si>
  <si>
    <t>Drainage Ditch Covering</t>
  </si>
  <si>
    <t>Phosphorous Removal System</t>
  </si>
  <si>
    <t>Controlling Existing Flowing Wells</t>
  </si>
  <si>
    <t>Water Well Disinfection</t>
  </si>
  <si>
    <t>Soil Carbon Amendment</t>
  </si>
  <si>
    <t>Annual Forages for Grazing Systems</t>
  </si>
  <si>
    <t>Groundwater Recharge Basin or Trench</t>
  </si>
  <si>
    <t>On-Farm Recharge</t>
  </si>
  <si>
    <t>Developer Notes and Sources</t>
  </si>
  <si>
    <t>Current Version</t>
  </si>
  <si>
    <t>Change Log</t>
  </si>
  <si>
    <t>Author</t>
  </si>
  <si>
    <t>Version</t>
  </si>
  <si>
    <t>First draft of tool</t>
  </si>
  <si>
    <t>YM</t>
  </si>
  <si>
    <t>Consolidated shapiro wilk royston test parameters. Retooled some of the logic when testing for different "metrics". Added Flow and Depth to metrics. Tied cell calculations to calc_test to minimize logic within formulas in several ranges. Updated report and plots. Added treatment description field to tool input and report.</t>
  </si>
  <si>
    <t>JR</t>
  </si>
  <si>
    <t>Added tool tips for all cells with user input</t>
  </si>
  <si>
    <t>Sheet Descriptions</t>
  </si>
  <si>
    <t>Instructions</t>
  </si>
  <si>
    <t>• Contains instructions for how to use the tool including: steps, layout, and cell explanations/definitions</t>
  </si>
  <si>
    <t>UI</t>
  </si>
  <si>
    <t>• Contains the functioning parts of the tool.</t>
  </si>
  <si>
    <t>• Has 3 sections: project and producer info, data table, and a statistics section.</t>
  </si>
  <si>
    <t>• Project/producer section contains mostly user-input cells, with a few autopopulated depending on what user enters</t>
  </si>
  <si>
    <t>• Data entry table is at the bottom of the UI; this is where the user enters measured water quality variable concentrations (mg/l) and flow (ft3) for both control and treatment sites, dates of measurement, duration of event (optional except for Qpeak) and cells that are autopopulated when the required cells are completed</t>
  </si>
  <si>
    <t>• Statistics section that is completely autopopulated based on the data entry table:</t>
  </si>
  <si>
    <t>1) Descriptive statistics table: mean, variance, median, IQR</t>
  </si>
  <si>
    <t>2) Amount of events (paired control and treatment samples)</t>
  </si>
  <si>
    <t>3) Check whether data is normal</t>
  </si>
  <si>
    <t>4) Checks variance of data</t>
  </si>
  <si>
    <t>5) If data is normal, runs parametric t-test to see if there is a significant difference between control and treatment sites: paired if user indicates above-below project design, two-sample if user indicates side-by-side (homoscedastic or heteroscedastic depending on variance result)</t>
  </si>
  <si>
    <t>6) If data is not normal, runs non-parametric test to see if there is a significant difference between control and treatment sites: Wilcoxon Signed Rank test if user indicates above-below project design, Mann-Whitney U if user indicates side-by-side</t>
  </si>
  <si>
    <t>7) Calculates the critical value aka cricital difference, which is the minimum difference between two groups that needs to be detected in order to reject the null hypothesis</t>
  </si>
  <si>
    <t>printout</t>
  </si>
  <si>
    <t>• An entirely autopopulated sheet that contains important information from the UI in a shareable format that can be printed on one paper (no color) and shared with producers and other interested parties (layman language)</t>
  </si>
  <si>
    <t>lookup</t>
  </si>
  <si>
    <t>• Contains tables with values used by vlookup functions in the UI sheet</t>
  </si>
  <si>
    <t>UI Sheet Functions and Justifications</t>
  </si>
  <si>
    <t>Water quality variable values that are calculated from the data table depending on what type of data this analysis is for (concentration, load, yield)</t>
  </si>
  <si>
    <t>Columns M-N</t>
  </si>
  <si>
    <t>Font color is white and columns are made small: to see these values, expand columns and make all text in columns black; reason: box and whisker plot doesn't see hidden values</t>
  </si>
  <si>
    <t>Shapiro-Wilk Royston AKA SWR</t>
  </si>
  <si>
    <t>Checks normality</t>
  </si>
  <si>
    <t>3 &lt; n &lt; 2000</t>
  </si>
  <si>
    <t>Regular Shapiro-Wilks can only handle up to 50 samples</t>
  </si>
  <si>
    <t>Columns L-X</t>
  </si>
  <si>
    <t>NOTE: CAREFUL WHEN EDITING! M16 and the a_i column technically contain a closed loop (a_i uses M16 in calculations, but M16 also uses a_i in calculations) and is the reason I didn’t think it could be dynamic initially.</t>
  </si>
  <si>
    <t>Sources:</t>
  </si>
  <si>
    <t>https://www.automateexcel.com/stats/shapiro-wilk-royston-test/</t>
  </si>
  <si>
    <t>https://real-statistics.com/tests-normality-and-symmetry/statistical-tests-normality-symmetry/shapiro-wilk-expanded-test/</t>
  </si>
  <si>
    <t>Mann-Whitney U</t>
  </si>
  <si>
    <t>Non-parametric form of independent sample T-Test (side-by-side)</t>
  </si>
  <si>
    <t>Columns Z-AA</t>
  </si>
  <si>
    <t>Source:</t>
  </si>
  <si>
    <t>https://www.statology.org/how-to-perform-a-mann-whitney-u-test-in-excel/</t>
  </si>
  <si>
    <t>Used to test whether the variances of two populations are equal</t>
  </si>
  <si>
    <t>Columns AC-AD</t>
  </si>
  <si>
    <t>https://support.microsoft.com/en-au/office/ftest-function-4c9e1202-53fe-428c-a737-976f6fc3f9fd</t>
  </si>
  <si>
    <t>Parametric test of significance</t>
  </si>
  <si>
    <t>Columns AF-AG</t>
  </si>
  <si>
    <t>Test changes based on following: monitoring design (paired vs independent; see below for justification) and variance (homoscedacity and heteroscedacity)</t>
  </si>
  <si>
    <t>https://support.microsoft.com/en-us/office/t-test-function-d4e08ec3-c545-485f-962e-276f7cbed055</t>
  </si>
  <si>
    <t>Wilcoxon Signed Rank</t>
  </si>
  <si>
    <t>Non-parametric form of paired sample T-Test (above below)</t>
  </si>
  <si>
    <t>Columns AI-AM</t>
  </si>
  <si>
    <t>https://real-statistics.com/non-parametric-tests/wilcoxon-signed-ranks-test/</t>
  </si>
  <si>
    <t>https://www.statology.org/how-to-find-a-p-value-from-a-z-score-in-excel/</t>
  </si>
  <si>
    <t>aka Critical Value</t>
  </si>
  <si>
    <t>Columns AO-AS</t>
  </si>
  <si>
    <t>Using Fisher's LSD (uses Fisher's SF: Safety Factor), calculated the value of difference in means beyond which indicates the two means are significantly different.</t>
  </si>
  <si>
    <t>https://www.statology.org/fishers-least-significant-difference/</t>
  </si>
  <si>
    <t>https://www.ars.usda.gov/ARSUserFiles/60540520/Excel-ANOVA-UMCP.pdf</t>
  </si>
  <si>
    <t>http://www.csun.edu/~ata20315/psy320/Lecture13_OneWayANOVA.pdf</t>
  </si>
  <si>
    <t>Justification for: side-by-side are independent while above-below are paired (Cell G6)</t>
  </si>
  <si>
    <t>Can assess BMP effectiveness by comparing input-output samples from one event</t>
  </si>
  <si>
    <t>BMPs with long retentions times cannot be compared via paired input-output samples because both cannot be collected during single event, hence the samples are not paired or matched</t>
  </si>
  <si>
    <t>Paired tests are generally more powerful and should be used when enabled by collecting samples at the same time period at two sites.</t>
  </si>
  <si>
    <t>If paired samples are collected simultaneously from input and output (e.g., for the same day or the same storm event), a paired tTest (or comparable nonparametric test) that considers the differences between each pair of observations rather than the difference in group means can give a better interpretation of the difference between the two sampling points.</t>
  </si>
  <si>
    <t>https://www.epa.gov/sites/default/files/2016-06/documents/chapter_7_may_2016_508.pdf</t>
  </si>
  <si>
    <t>https://www.epa.gov/sites/default/files/2016-06/documents/pairedtests.pdf</t>
  </si>
  <si>
    <t>NOTE: While official document from EPA, they use Wilcoxon Rank Sum and Wilcoxon Signed Rank tests interchangeable, which is wrong; therefore, sources might not be entirely accurate</t>
  </si>
  <si>
    <t>printout Sheet Functions</t>
  </si>
  <si>
    <t>Dynamic Chart Contents</t>
  </si>
  <si>
    <t>Chart contents change as values in UI sheet change: title based on selected WQ parameter, values based on the hidden Values used for Calcs table (using named ranges with Offset function so blank values not graphed in Box and Whisker chart)</t>
  </si>
  <si>
    <t>Used named ranges in Chart values to make dynamic</t>
  </si>
  <si>
    <t>https://www.mrexcel.com/board/threads/can-a-chart-range-have-an-if-statement.967332/</t>
  </si>
  <si>
    <t>Used = in function box to connect to cell contents (couldn’t get &amp; to work to merge contents and text)</t>
  </si>
  <si>
    <t>https://www.excel-easy.com/examples/dynamic-named-range.html</t>
  </si>
  <si>
    <t>https://engineerexcel.com/dynamic-chart-titles-in-excel/</t>
  </si>
  <si>
    <t>AL00101</t>
  </si>
  <si>
    <t>JLR</t>
  </si>
  <si>
    <t>AL0010101</t>
  </si>
  <si>
    <t>AL0010102</t>
  </si>
  <si>
    <t>Corn with cover crop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</si>
</sst>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
    <numFmt numFmtId="166" formatCode="0.00000"/>
    <numFmt numFmtId="167" formatCode="0.000E+00"/>
    <numFmt numFmtId="168" formatCode="0.0000000"/>
    <numFmt numFmtId="169" formatCode="0.0"/>
  </numFmts>
  <fonts count="20" x14ac:knownFonts="1">
    <font>
      <sz val="11"/>
      <color theme="1"/>
      <name val="Calibri"/>
      <family val="2"/>
      <scheme val="minor"/>
    </font>
    <font>
      <sz val="11"/>
      <name val="Calibri"/>
      <family val="2"/>
      <scheme val="minor"/>
    </font>
    <font>
      <i/>
      <sz val="11"/>
      <color theme="1"/>
      <name val="Calibri"/>
      <family val="2"/>
      <scheme val="minor"/>
    </font>
    <font>
      <b/>
      <sz val="11"/>
      <color theme="1"/>
      <name val="Calibri"/>
      <family val="2"/>
      <scheme val="minor"/>
    </font>
    <font>
      <b/>
      <sz val="20"/>
      <color theme="1"/>
      <name val="Calibri"/>
      <family val="2"/>
      <scheme val="minor"/>
    </font>
    <font>
      <b/>
      <i/>
      <sz val="12"/>
      <color theme="1"/>
      <name val="Calibri"/>
      <family val="2"/>
      <scheme val="minor"/>
    </font>
    <font>
      <sz val="11"/>
      <color theme="1"/>
      <name val="Calibri"/>
      <family val="2"/>
    </font>
    <font>
      <b/>
      <sz val="12"/>
      <color theme="1"/>
      <name val="Calibri"/>
      <family val="2"/>
      <scheme val="minor"/>
    </font>
    <font>
      <b/>
      <i/>
      <sz val="11"/>
      <color theme="1"/>
      <name val="Calibri"/>
      <family val="2"/>
      <scheme val="minor"/>
    </font>
    <font>
      <b/>
      <i/>
      <sz val="14"/>
      <color theme="1"/>
      <name val="Calibri"/>
      <family val="2"/>
      <scheme val="minor"/>
    </font>
    <font>
      <b/>
      <sz val="14"/>
      <color theme="1"/>
      <name val="Calibri"/>
      <family val="2"/>
      <scheme val="minor"/>
    </font>
    <font>
      <b/>
      <sz val="16"/>
      <color theme="1"/>
      <name val="Calibri"/>
      <family val="2"/>
      <scheme val="minor"/>
    </font>
    <font>
      <u/>
      <sz val="11"/>
      <color theme="10"/>
      <name val="Calibri"/>
      <family val="2"/>
      <scheme val="minor"/>
    </font>
    <font>
      <b/>
      <i/>
      <sz val="11"/>
      <name val="Calibri"/>
      <family val="2"/>
      <scheme val="minor"/>
    </font>
    <font>
      <sz val="8"/>
      <name val="Calibri"/>
      <family val="2"/>
      <scheme val="minor"/>
    </font>
    <font>
      <b/>
      <sz val="11"/>
      <color theme="0"/>
      <name val="Calibri"/>
      <family val="2"/>
      <scheme val="minor"/>
    </font>
    <font>
      <sz val="11"/>
      <color theme="0"/>
      <name val="Calibri"/>
      <family val="2"/>
      <scheme val="minor"/>
    </font>
    <font>
      <b/>
      <sz val="11"/>
      <color theme="1" tint="0.249977111117893"/>
      <name val="Calibri"/>
      <family val="2"/>
      <scheme val="minor"/>
    </font>
    <font>
      <sz val="12"/>
      <color theme="1"/>
      <name val="Calibri"/>
      <family val="2"/>
      <scheme val="minor"/>
    </font>
    <font>
      <sz val="14"/>
      <color theme="1"/>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00ABBF"/>
        <bgColor indexed="64"/>
      </patternFill>
    </fill>
    <fill>
      <patternFill patternType="solid">
        <fgColor rgb="FF89C32D"/>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rgb="FFFFCCCC"/>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FCE4D6"/>
        <bgColor indexed="64"/>
      </patternFill>
    </fill>
    <fill>
      <patternFill patternType="solid">
        <fgColor rgb="FFFFF2CC"/>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top style="thin">
        <color indexed="64"/>
      </top>
      <bottom style="medium">
        <color indexed="64"/>
      </bottom>
      <diagonal/>
    </border>
    <border>
      <left/>
      <right/>
      <top style="medium">
        <color indexed="64"/>
      </top>
      <bottom/>
      <diagonal/>
    </border>
    <border>
      <left/>
      <right/>
      <top/>
      <bottom style="medium">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style="thin">
        <color indexed="64"/>
      </top>
      <bottom/>
      <diagonal/>
    </border>
    <border>
      <left style="medium">
        <color indexed="64"/>
      </left>
      <right/>
      <top/>
      <bottom style="medium">
        <color indexed="64"/>
      </bottom>
      <diagonal/>
    </border>
    <border>
      <left/>
      <right/>
      <top style="medium">
        <color indexed="64"/>
      </top>
      <bottom style="medium">
        <color indexed="64"/>
      </bottom>
      <diagonal/>
    </border>
    <border>
      <left style="medium">
        <color indexed="64"/>
      </left>
      <right style="thin">
        <color theme="2" tint="-9.9948118533890809E-2"/>
      </right>
      <top style="medium">
        <color indexed="64"/>
      </top>
      <bottom style="thin">
        <color theme="2" tint="-9.9948118533890809E-2"/>
      </bottom>
      <diagonal/>
    </border>
    <border>
      <left style="thin">
        <color theme="2" tint="-9.9948118533890809E-2"/>
      </left>
      <right style="thin">
        <color theme="2" tint="-9.9948118533890809E-2"/>
      </right>
      <top style="medium">
        <color indexed="64"/>
      </top>
      <bottom style="thin">
        <color theme="2" tint="-9.9948118533890809E-2"/>
      </bottom>
      <diagonal/>
    </border>
    <border>
      <left style="thin">
        <color theme="2" tint="-9.9948118533890809E-2"/>
      </left>
      <right style="medium">
        <color indexed="64"/>
      </right>
      <top style="medium">
        <color indexed="64"/>
      </top>
      <bottom style="thin">
        <color theme="2" tint="-9.9948118533890809E-2"/>
      </bottom>
      <diagonal/>
    </border>
    <border>
      <left style="medium">
        <color indexed="64"/>
      </left>
      <right style="thin">
        <color theme="2" tint="-9.9948118533890809E-2"/>
      </right>
      <top style="thin">
        <color theme="2" tint="-9.9948118533890809E-2"/>
      </top>
      <bottom style="thin">
        <color theme="2" tint="-9.9948118533890809E-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style="medium">
        <color indexed="64"/>
      </right>
      <top style="thin">
        <color theme="2" tint="-9.9948118533890809E-2"/>
      </top>
      <bottom style="thin">
        <color theme="2" tint="-9.9948118533890809E-2"/>
      </bottom>
      <diagonal/>
    </border>
    <border>
      <left style="medium">
        <color indexed="64"/>
      </left>
      <right style="thin">
        <color theme="2" tint="-9.9948118533890809E-2"/>
      </right>
      <top style="thin">
        <color theme="2" tint="-9.9948118533890809E-2"/>
      </top>
      <bottom style="medium">
        <color indexed="64"/>
      </bottom>
      <diagonal/>
    </border>
    <border>
      <left style="thin">
        <color theme="2" tint="-9.9948118533890809E-2"/>
      </left>
      <right style="thin">
        <color theme="2" tint="-9.9948118533890809E-2"/>
      </right>
      <top style="thin">
        <color theme="2" tint="-9.9948118533890809E-2"/>
      </top>
      <bottom style="medium">
        <color indexed="64"/>
      </bottom>
      <diagonal/>
    </border>
    <border>
      <left style="thin">
        <color theme="2" tint="-9.9948118533890809E-2"/>
      </left>
      <right style="medium">
        <color indexed="64"/>
      </right>
      <top style="thin">
        <color theme="2" tint="-9.9948118533890809E-2"/>
      </top>
      <bottom style="medium">
        <color indexed="64"/>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medium">
        <color indexed="64"/>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medium">
        <color indexed="64"/>
      </right>
      <top/>
      <bottom style="thin">
        <color theme="0" tint="-0.34998626667073579"/>
      </bottom>
      <diagonal/>
    </border>
    <border>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top/>
      <bottom style="thin">
        <color theme="0" tint="-0.34998626667073579"/>
      </bottom>
      <diagonal/>
    </border>
  </borders>
  <cellStyleXfs count="2">
    <xf numFmtId="0" fontId="0" fillId="0" borderId="0"/>
    <xf numFmtId="0" fontId="12" fillId="0" borderId="0" applyNumberFormat="0" applyFill="0" applyBorder="0" applyAlignment="0" applyProtection="0"/>
  </cellStyleXfs>
  <cellXfs count="187">
    <xf numFmtId="0" fontId="0" fillId="0" borderId="0" xfId="0"/>
    <xf numFmtId="0" fontId="0" fillId="0" borderId="0" xfId="0" applyAlignment="1">
      <alignment horizontal="right"/>
    </xf>
    <xf numFmtId="0" fontId="3" fillId="0" borderId="0" xfId="0" applyFont="1"/>
    <xf numFmtId="164" fontId="0" fillId="0" borderId="0" xfId="0" applyNumberFormat="1"/>
    <xf numFmtId="165" fontId="0" fillId="0" borderId="0" xfId="0" applyNumberFormat="1"/>
    <xf numFmtId="0" fontId="0" fillId="0" borderId="2" xfId="0" applyBorder="1"/>
    <xf numFmtId="0" fontId="3" fillId="0" borderId="0" xfId="0" applyFont="1" applyAlignment="1">
      <alignment horizontal="center"/>
    </xf>
    <xf numFmtId="0" fontId="0" fillId="3" borderId="0" xfId="0" applyFill="1"/>
    <xf numFmtId="0" fontId="0" fillId="4" borderId="0" xfId="0" applyFill="1"/>
    <xf numFmtId="0" fontId="0" fillId="0" borderId="1" xfId="0" applyBorder="1"/>
    <xf numFmtId="0" fontId="0" fillId="5" borderId="0" xfId="0" applyFill="1"/>
    <xf numFmtId="0" fontId="3" fillId="5" borderId="0" xfId="0" applyFont="1" applyFill="1" applyAlignment="1">
      <alignment horizontal="center"/>
    </xf>
    <xf numFmtId="0" fontId="3" fillId="5" borderId="0" xfId="0" applyFont="1" applyFill="1"/>
    <xf numFmtId="0" fontId="0" fillId="6" borderId="1" xfId="0" applyFill="1" applyBorder="1" applyAlignment="1">
      <alignment horizontal="center"/>
    </xf>
    <xf numFmtId="0" fontId="0" fillId="6" borderId="1" xfId="0" applyFill="1" applyBorder="1"/>
    <xf numFmtId="0" fontId="0" fillId="6" borderId="4" xfId="0" applyFill="1" applyBorder="1"/>
    <xf numFmtId="0" fontId="0" fillId="6" borderId="6" xfId="0" applyFill="1" applyBorder="1"/>
    <xf numFmtId="0" fontId="4" fillId="5" borderId="0" xfId="0" applyFont="1" applyFill="1"/>
    <xf numFmtId="0" fontId="0" fillId="5" borderId="0" xfId="0" applyFill="1" applyAlignment="1">
      <alignment horizontal="center"/>
    </xf>
    <xf numFmtId="0" fontId="6" fillId="0" borderId="0" xfId="0" applyFont="1"/>
    <xf numFmtId="164" fontId="0" fillId="0" borderId="0" xfId="0" applyNumberFormat="1" applyAlignment="1">
      <alignment horizontal="right"/>
    </xf>
    <xf numFmtId="0" fontId="0" fillId="8" borderId="0" xfId="0" applyFill="1"/>
    <xf numFmtId="167" fontId="0" fillId="0" borderId="0" xfId="0" applyNumberFormat="1"/>
    <xf numFmtId="165" fontId="0" fillId="6" borderId="1" xfId="0" applyNumberFormat="1" applyFill="1" applyBorder="1" applyAlignment="1">
      <alignment horizontal="center"/>
    </xf>
    <xf numFmtId="14" fontId="0" fillId="0" borderId="1" xfId="0" applyNumberFormat="1" applyBorder="1" applyProtection="1">
      <protection locked="0"/>
    </xf>
    <xf numFmtId="14" fontId="0" fillId="7" borderId="1" xfId="0" applyNumberFormat="1" applyFill="1" applyBorder="1" applyProtection="1">
      <protection locked="0"/>
    </xf>
    <xf numFmtId="0" fontId="0" fillId="7" borderId="1" xfId="0" applyFill="1" applyBorder="1" applyProtection="1">
      <protection locked="0"/>
    </xf>
    <xf numFmtId="0" fontId="7" fillId="5" borderId="0" xfId="0" applyFont="1" applyFill="1" applyAlignment="1">
      <alignment horizontal="center"/>
    </xf>
    <xf numFmtId="0" fontId="3" fillId="8" borderId="0" xfId="0" applyFont="1" applyFill="1"/>
    <xf numFmtId="0" fontId="0" fillId="0" borderId="0" xfId="0" quotePrefix="1"/>
    <xf numFmtId="166" fontId="0" fillId="0" borderId="0" xfId="0" applyNumberFormat="1"/>
    <xf numFmtId="0" fontId="2" fillId="0" borderId="0" xfId="0" applyFont="1" applyAlignment="1">
      <alignment horizontal="center"/>
    </xf>
    <xf numFmtId="0" fontId="0" fillId="0" borderId="0" xfId="0" applyAlignment="1">
      <alignment horizontal="center"/>
    </xf>
    <xf numFmtId="0" fontId="8" fillId="9" borderId="5" xfId="0" applyFont="1" applyFill="1" applyBorder="1" applyAlignment="1">
      <alignment horizontal="center" vertical="center"/>
    </xf>
    <xf numFmtId="0" fontId="8" fillId="2" borderId="5" xfId="0" applyFont="1" applyFill="1" applyBorder="1" applyAlignment="1">
      <alignment horizontal="center" vertical="center"/>
    </xf>
    <xf numFmtId="0" fontId="8" fillId="7" borderId="5" xfId="0" applyFont="1" applyFill="1" applyBorder="1" applyAlignment="1">
      <alignment horizontal="center" vertical="center"/>
    </xf>
    <xf numFmtId="0" fontId="7" fillId="5" borderId="4" xfId="0" applyFont="1" applyFill="1" applyBorder="1" applyAlignment="1">
      <alignment horizontal="center" vertical="center"/>
    </xf>
    <xf numFmtId="0" fontId="5" fillId="3" borderId="0" xfId="0" applyFont="1" applyFill="1" applyAlignment="1">
      <alignment vertical="center"/>
    </xf>
    <xf numFmtId="0" fontId="5" fillId="4" borderId="0" xfId="0" applyFont="1" applyFill="1" applyAlignment="1">
      <alignment vertical="center"/>
    </xf>
    <xf numFmtId="0" fontId="0" fillId="3" borderId="0" xfId="0" applyFill="1" applyAlignment="1">
      <alignment vertical="center"/>
    </xf>
    <xf numFmtId="0" fontId="0" fillId="0" borderId="1" xfId="0" applyBorder="1" applyAlignment="1" applyProtection="1">
      <alignment horizontal="center"/>
      <protection locked="0"/>
    </xf>
    <xf numFmtId="0" fontId="9" fillId="3" borderId="0" xfId="0" applyFont="1" applyFill="1" applyAlignment="1">
      <alignment vertical="center"/>
    </xf>
    <xf numFmtId="0" fontId="9" fillId="4" borderId="0" xfId="0" applyFont="1" applyFill="1" applyAlignment="1">
      <alignment vertical="center"/>
    </xf>
    <xf numFmtId="0" fontId="9" fillId="3" borderId="0" xfId="0" applyFont="1" applyFill="1" applyAlignment="1">
      <alignment horizontal="left" vertical="center"/>
    </xf>
    <xf numFmtId="14" fontId="0" fillId="0" borderId="0" xfId="0" applyNumberFormat="1"/>
    <xf numFmtId="0" fontId="10" fillId="0" borderId="17" xfId="0" applyFont="1" applyBorder="1"/>
    <xf numFmtId="0" fontId="0" fillId="0" borderId="17" xfId="0" applyBorder="1"/>
    <xf numFmtId="0" fontId="7" fillId="0" borderId="2" xfId="0" applyFont="1" applyBorder="1"/>
    <xf numFmtId="0" fontId="3" fillId="0" borderId="0" xfId="0" applyFont="1" applyAlignment="1">
      <alignment horizontal="right"/>
    </xf>
    <xf numFmtId="0" fontId="0" fillId="0" borderId="18" xfId="0" applyBorder="1"/>
    <xf numFmtId="0" fontId="0" fillId="0" borderId="19" xfId="0" applyBorder="1"/>
    <xf numFmtId="0" fontId="7" fillId="0" borderId="16" xfId="0" applyFont="1" applyBorder="1" applyAlignment="1">
      <alignment horizontal="left" vertical="top"/>
    </xf>
    <xf numFmtId="0" fontId="7" fillId="0" borderId="0" xfId="0" applyFont="1"/>
    <xf numFmtId="164" fontId="0" fillId="8" borderId="0" xfId="0" applyNumberFormat="1" applyFill="1" applyAlignment="1">
      <alignment horizontal="right"/>
    </xf>
    <xf numFmtId="164" fontId="3" fillId="8" borderId="0" xfId="0" applyNumberFormat="1" applyFont="1" applyFill="1"/>
    <xf numFmtId="164" fontId="0" fillId="8" borderId="0" xfId="0" applyNumberFormat="1" applyFill="1"/>
    <xf numFmtId="0" fontId="6" fillId="8" borderId="0" xfId="0" applyFont="1" applyFill="1"/>
    <xf numFmtId="164" fontId="0" fillId="0" borderId="0" xfId="0" applyNumberFormat="1" applyAlignment="1">
      <alignment horizontal="left"/>
    </xf>
    <xf numFmtId="0" fontId="3" fillId="0" borderId="0" xfId="0" applyFont="1" applyAlignment="1">
      <alignment horizontal="center" vertical="top" wrapText="1"/>
    </xf>
    <xf numFmtId="0" fontId="0" fillId="0" borderId="1" xfId="0" applyBorder="1" applyAlignment="1">
      <alignment horizontal="center"/>
    </xf>
    <xf numFmtId="0" fontId="0" fillId="0" borderId="3"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4" xfId="0" applyBorder="1"/>
    <xf numFmtId="0" fontId="0" fillId="0" borderId="14" xfId="0" applyBorder="1" applyAlignment="1">
      <alignment horizontal="left" indent="1"/>
    </xf>
    <xf numFmtId="0" fontId="0" fillId="0" borderId="14" xfId="0" applyBorder="1" applyAlignment="1">
      <alignment horizontal="left" indent="2"/>
    </xf>
    <xf numFmtId="0" fontId="0" fillId="0" borderId="13" xfId="0" applyBorder="1" applyAlignment="1">
      <alignment horizontal="left" indent="2"/>
    </xf>
    <xf numFmtId="0" fontId="0" fillId="8" borderId="4" xfId="0" applyFill="1" applyBorder="1"/>
    <xf numFmtId="0" fontId="0" fillId="8" borderId="6" xfId="0" applyFill="1" applyBorder="1"/>
    <xf numFmtId="0" fontId="0" fillId="0" borderId="14" xfId="0" applyBorder="1" applyAlignment="1">
      <alignment horizontal="left" wrapText="1" indent="2"/>
    </xf>
    <xf numFmtId="0" fontId="1" fillId="0" borderId="8" xfId="1" applyFont="1" applyBorder="1"/>
    <xf numFmtId="0" fontId="1" fillId="0" borderId="10" xfId="1" applyFont="1" applyBorder="1"/>
    <xf numFmtId="0" fontId="0" fillId="0" borderId="12" xfId="0" applyBorder="1"/>
    <xf numFmtId="0" fontId="0" fillId="0" borderId="10" xfId="0" applyBorder="1" applyAlignment="1">
      <alignment wrapText="1"/>
    </xf>
    <xf numFmtId="0" fontId="1" fillId="0" borderId="12" xfId="1" applyFont="1" applyBorder="1"/>
    <xf numFmtId="0" fontId="0" fillId="0" borderId="0" xfId="0" applyAlignment="1">
      <alignment wrapText="1"/>
    </xf>
    <xf numFmtId="0" fontId="0" fillId="0" borderId="0" xfId="0" applyAlignment="1">
      <alignment vertical="center"/>
    </xf>
    <xf numFmtId="2" fontId="0" fillId="0" borderId="1" xfId="0" applyNumberFormat="1" applyBorder="1" applyProtection="1">
      <protection locked="0"/>
    </xf>
    <xf numFmtId="2" fontId="0" fillId="7" borderId="1" xfId="0" applyNumberFormat="1" applyFill="1" applyBorder="1" applyProtection="1">
      <protection locked="0"/>
    </xf>
    <xf numFmtId="0" fontId="0" fillId="6" borderId="11" xfId="0" applyFill="1" applyBorder="1"/>
    <xf numFmtId="0" fontId="0" fillId="6" borderId="2" xfId="0" applyFill="1" applyBorder="1"/>
    <xf numFmtId="0" fontId="0" fillId="6" borderId="12" xfId="0" applyFill="1" applyBorder="1"/>
    <xf numFmtId="0" fontId="0" fillId="6" borderId="5" xfId="0" applyFill="1" applyBorder="1"/>
    <xf numFmtId="0" fontId="13" fillId="6" borderId="6" xfId="0" applyFont="1" applyFill="1" applyBorder="1" applyAlignment="1">
      <alignment horizontal="center" vertical="center"/>
    </xf>
    <xf numFmtId="0" fontId="0" fillId="0" borderId="14" xfId="0" applyBorder="1" applyAlignment="1">
      <alignment horizontal="left" wrapText="1" indent="1"/>
    </xf>
    <xf numFmtId="0" fontId="0" fillId="0" borderId="8" xfId="0" applyBorder="1" applyAlignment="1">
      <alignment wrapText="1"/>
    </xf>
    <xf numFmtId="0" fontId="0" fillId="0" borderId="7" xfId="0" applyBorder="1" applyAlignment="1">
      <alignment vertical="top"/>
    </xf>
    <xf numFmtId="0" fontId="0" fillId="0" borderId="20" xfId="0" applyBorder="1"/>
    <xf numFmtId="0" fontId="0" fillId="11" borderId="21" xfId="0" applyFill="1" applyBorder="1"/>
    <xf numFmtId="0" fontId="0" fillId="0" borderId="21" xfId="0" applyBorder="1"/>
    <xf numFmtId="0" fontId="3" fillId="10" borderId="21" xfId="0" applyFont="1" applyFill="1" applyBorder="1"/>
    <xf numFmtId="0" fontId="8" fillId="0" borderId="0" xfId="0" applyFont="1"/>
    <xf numFmtId="0" fontId="0" fillId="12" borderId="0" xfId="0" applyFill="1"/>
    <xf numFmtId="0" fontId="12" fillId="0" borderId="10" xfId="1" applyBorder="1"/>
    <xf numFmtId="0" fontId="6" fillId="0" borderId="0" xfId="0" applyFont="1" applyAlignment="1">
      <alignment horizontal="right"/>
    </xf>
    <xf numFmtId="0" fontId="3" fillId="8" borderId="0" xfId="0" applyFont="1" applyFill="1" applyAlignment="1">
      <alignment horizontal="center"/>
    </xf>
    <xf numFmtId="0" fontId="0" fillId="8" borderId="0" xfId="0" applyFill="1" applyAlignment="1">
      <alignment horizontal="center"/>
    </xf>
    <xf numFmtId="0" fontId="3" fillId="8" borderId="0" xfId="0" applyFont="1" applyFill="1" applyAlignment="1">
      <alignment horizontal="left"/>
    </xf>
    <xf numFmtId="165" fontId="0" fillId="0" borderId="0" xfId="0" applyNumberFormat="1" applyAlignment="1">
      <alignment horizontal="right"/>
    </xf>
    <xf numFmtId="168" fontId="0" fillId="0" borderId="0" xfId="0" applyNumberFormat="1" applyAlignment="1">
      <alignment horizontal="right"/>
    </xf>
    <xf numFmtId="0" fontId="3" fillId="12" borderId="0" xfId="0" applyFont="1" applyFill="1"/>
    <xf numFmtId="0" fontId="0" fillId="0" borderId="0" xfId="0" applyAlignment="1">
      <alignment vertical="top"/>
    </xf>
    <xf numFmtId="0" fontId="10" fillId="0" borderId="0" xfId="0" applyFont="1"/>
    <xf numFmtId="0" fontId="3" fillId="0" borderId="1" xfId="0" applyFont="1" applyBorder="1"/>
    <xf numFmtId="0" fontId="12" fillId="0" borderId="0" xfId="1"/>
    <xf numFmtId="0" fontId="0" fillId="0" borderId="0" xfId="0" applyAlignment="1">
      <alignment horizontal="left"/>
    </xf>
    <xf numFmtId="0" fontId="3" fillId="0" borderId="0" xfId="0" applyFont="1" applyAlignment="1">
      <alignment vertical="top"/>
    </xf>
    <xf numFmtId="0" fontId="10" fillId="0" borderId="18" xfId="0" applyFont="1" applyBorder="1"/>
    <xf numFmtId="0" fontId="10" fillId="0" borderId="19" xfId="0" applyFont="1" applyBorder="1"/>
    <xf numFmtId="0" fontId="0" fillId="13" borderId="1" xfId="0" applyFill="1" applyBorder="1" applyAlignment="1" applyProtection="1">
      <alignment horizontal="center"/>
      <protection locked="0"/>
    </xf>
    <xf numFmtId="0" fontId="6" fillId="0" borderId="0" xfId="0" applyFont="1" applyAlignment="1">
      <alignment horizontal="left"/>
    </xf>
    <xf numFmtId="0" fontId="12" fillId="0" borderId="12" xfId="1" applyBorder="1"/>
    <xf numFmtId="14" fontId="0" fillId="0" borderId="0" xfId="0" applyNumberFormat="1" applyAlignment="1">
      <alignment horizontal="right" vertical="center"/>
    </xf>
    <xf numFmtId="0" fontId="0" fillId="5" borderId="1" xfId="0" applyFill="1" applyBorder="1" applyAlignment="1" applyProtection="1">
      <alignment horizontal="center"/>
      <protection locked="0"/>
    </xf>
    <xf numFmtId="11" fontId="0" fillId="0" borderId="0" xfId="0" applyNumberFormat="1"/>
    <xf numFmtId="0" fontId="16" fillId="5" borderId="0" xfId="0" applyFont="1" applyFill="1"/>
    <xf numFmtId="0" fontId="15" fillId="5" borderId="0" xfId="0" applyFont="1" applyFill="1"/>
    <xf numFmtId="166" fontId="16" fillId="5" borderId="0" xfId="0" applyNumberFormat="1" applyFont="1" applyFill="1"/>
    <xf numFmtId="169" fontId="16" fillId="5" borderId="0" xfId="0" applyNumberFormat="1" applyFont="1" applyFill="1"/>
    <xf numFmtId="0" fontId="3" fillId="5" borderId="0" xfId="0" applyFont="1" applyFill="1" applyAlignment="1">
      <alignment horizontal="right"/>
    </xf>
    <xf numFmtId="0" fontId="3" fillId="5" borderId="0" xfId="0" applyFont="1" applyFill="1" applyAlignment="1">
      <alignment horizontal="left"/>
    </xf>
    <xf numFmtId="0" fontId="3" fillId="0" borderId="1" xfId="0" applyFont="1" applyBorder="1" applyAlignment="1">
      <alignment horizontal="center"/>
    </xf>
    <xf numFmtId="0" fontId="3" fillId="0" borderId="1" xfId="0" applyFont="1" applyBorder="1" applyAlignment="1">
      <alignment horizontal="center" wrapText="1"/>
    </xf>
    <xf numFmtId="0" fontId="17" fillId="0" borderId="1" xfId="0" applyFont="1" applyBorder="1" applyAlignment="1">
      <alignment horizontal="center"/>
    </xf>
    <xf numFmtId="0" fontId="7" fillId="0" borderId="0" xfId="0" applyFont="1" applyAlignment="1">
      <alignment horizontal="left" vertical="top"/>
    </xf>
    <xf numFmtId="0" fontId="7" fillId="0" borderId="15" xfId="0" applyFont="1" applyBorder="1" applyAlignment="1">
      <alignment horizontal="left" vertical="top"/>
    </xf>
    <xf numFmtId="0" fontId="19" fillId="0" borderId="19" xfId="0" applyFont="1" applyBorder="1"/>
    <xf numFmtId="0" fontId="0" fillId="0" borderId="24" xfId="0" applyBorder="1"/>
    <xf numFmtId="0" fontId="7" fillId="0" borderId="19" xfId="0" applyFont="1" applyBorder="1" applyAlignment="1">
      <alignment horizontal="center" vertical="top"/>
    </xf>
    <xf numFmtId="0" fontId="7" fillId="0" borderId="19" xfId="0" applyFont="1" applyBorder="1" applyAlignment="1">
      <alignment horizontal="left" vertical="top"/>
    </xf>
    <xf numFmtId="0" fontId="11" fillId="0" borderId="19" xfId="0" applyFont="1" applyBorder="1" applyAlignment="1">
      <alignment horizontal="left" vertical="top"/>
    </xf>
    <xf numFmtId="0" fontId="3" fillId="0" borderId="19" xfId="0" applyFont="1" applyBorder="1" applyAlignment="1">
      <alignment horizontal="center" vertical="top"/>
    </xf>
    <xf numFmtId="0" fontId="0" fillId="0" borderId="15" xfId="0" applyBorder="1" applyAlignment="1">
      <alignment horizontal="left" vertical="top"/>
    </xf>
    <xf numFmtId="0" fontId="0" fillId="0" borderId="25" xfId="0" applyBorder="1"/>
    <xf numFmtId="0" fontId="0" fillId="0" borderId="26" xfId="0" applyBorder="1" applyAlignment="1">
      <alignment horizontal="center" vertical="center"/>
    </xf>
    <xf numFmtId="0" fontId="0" fillId="0" borderId="27" xfId="0" applyBorder="1" applyAlignment="1">
      <alignment vertical="center" wrapText="1"/>
    </xf>
    <xf numFmtId="0" fontId="0" fillId="0" borderId="28" xfId="0" applyBorder="1"/>
    <xf numFmtId="0" fontId="0" fillId="0" borderId="29" xfId="0" applyBorder="1" applyAlignment="1">
      <alignment horizontal="center" vertical="center"/>
    </xf>
    <xf numFmtId="0" fontId="0" fillId="0" borderId="30" xfId="0" applyBorder="1" applyAlignment="1">
      <alignment vertical="center" wrapText="1"/>
    </xf>
    <xf numFmtId="0" fontId="0" fillId="0" borderId="31" xfId="0" applyBorder="1"/>
    <xf numFmtId="0" fontId="0" fillId="0" borderId="32" xfId="0" applyBorder="1" applyAlignment="1">
      <alignment horizontal="center" vertical="center"/>
    </xf>
    <xf numFmtId="0" fontId="0" fillId="0" borderId="33" xfId="0" applyBorder="1" applyAlignment="1">
      <alignment vertical="center" wrapText="1"/>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7" xfId="0" applyBorder="1" applyAlignment="1">
      <alignment horizontal="center" vertical="center"/>
    </xf>
    <xf numFmtId="0" fontId="0" fillId="0" borderId="38" xfId="0" applyBorder="1" applyAlignment="1">
      <alignment horizontal="center" vertical="center"/>
    </xf>
    <xf numFmtId="0" fontId="0" fillId="0" borderId="39" xfId="0" applyBorder="1" applyAlignment="1">
      <alignment vertical="top" wrapText="1"/>
    </xf>
    <xf numFmtId="0" fontId="0" fillId="0" borderId="40" xfId="0" applyBorder="1" applyAlignment="1">
      <alignment horizontal="center" vertical="center"/>
    </xf>
    <xf numFmtId="0" fontId="0" fillId="0" borderId="41" xfId="0" applyBorder="1" applyAlignment="1">
      <alignment horizontal="center" vertical="center"/>
    </xf>
    <xf numFmtId="0" fontId="0" fillId="0" borderId="42" xfId="0" applyBorder="1" applyAlignment="1">
      <alignment vertical="top"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3"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vertical="top" wrapText="1"/>
    </xf>
    <xf numFmtId="0" fontId="3" fillId="0" borderId="46" xfId="0" applyFont="1" applyBorder="1" applyAlignment="1">
      <alignment horizontal="center" vertical="top"/>
    </xf>
    <xf numFmtId="0" fontId="3" fillId="0" borderId="41" xfId="0" applyFont="1" applyBorder="1" applyAlignment="1">
      <alignment horizontal="center" vertical="top"/>
    </xf>
    <xf numFmtId="0" fontId="3" fillId="0" borderId="47" xfId="0" applyFont="1" applyBorder="1" applyAlignment="1">
      <alignment horizontal="center" vertical="top"/>
    </xf>
    <xf numFmtId="0" fontId="7" fillId="0" borderId="43" xfId="0" applyFont="1" applyBorder="1" applyAlignment="1">
      <alignment horizontal="left" vertical="top"/>
    </xf>
    <xf numFmtId="0" fontId="7" fillId="0" borderId="44" xfId="0" applyFont="1" applyBorder="1" applyAlignment="1">
      <alignment horizontal="left" vertical="top"/>
    </xf>
    <xf numFmtId="0" fontId="0" fillId="0" borderId="48" xfId="0" applyBorder="1"/>
    <xf numFmtId="0" fontId="0" fillId="0" borderId="42" xfId="0" applyBorder="1" applyAlignment="1">
      <alignment horizontal="left" vertical="center" wrapText="1"/>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horizontal="left" wrapText="1"/>
    </xf>
    <xf numFmtId="0" fontId="0" fillId="0" borderId="0" xfId="0" applyAlignment="1">
      <alignment vertical="top" wrapText="1"/>
    </xf>
    <xf numFmtId="164" fontId="0" fillId="6" borderId="4" xfId="0" applyNumberFormat="1" applyFill="1" applyBorder="1" applyAlignment="1">
      <alignment horizontal="center"/>
    </xf>
    <xf numFmtId="164" fontId="0" fillId="6" borderId="1" xfId="0" applyNumberFormat="1" applyFill="1" applyBorder="1" applyAlignment="1">
      <alignment horizontal="center"/>
    </xf>
    <xf numFmtId="0" fontId="18" fillId="0" borderId="23" xfId="0" applyFont="1" applyBorder="1" applyAlignment="1">
      <alignment horizontal="left" vertical="top" wrapText="1"/>
    </xf>
    <xf numFmtId="0" fontId="18" fillId="0" borderId="19" xfId="0" applyFont="1" applyBorder="1" applyAlignment="1">
      <alignment horizontal="left" vertical="top" wrapText="1"/>
    </xf>
    <xf numFmtId="0" fontId="0" fillId="14" borderId="7" xfId="0" applyFill="1" applyBorder="1" applyAlignment="1" applyProtection="1">
      <alignment horizontal="left" vertical="top" wrapText="1"/>
      <protection locked="0"/>
    </xf>
    <xf numFmtId="0" fontId="0" fillId="14" borderId="22" xfId="0" applyFill="1" applyBorder="1" applyAlignment="1" applyProtection="1">
      <alignment horizontal="left" vertical="top" wrapText="1"/>
      <protection locked="0"/>
    </xf>
    <xf numFmtId="0" fontId="0" fillId="14" borderId="8" xfId="0" applyFill="1" applyBorder="1" applyAlignment="1" applyProtection="1">
      <alignment horizontal="left" vertical="top" wrapText="1"/>
      <protection locked="0"/>
    </xf>
    <xf numFmtId="0" fontId="0" fillId="14" borderId="9" xfId="0" applyFill="1" applyBorder="1" applyAlignment="1" applyProtection="1">
      <alignment horizontal="left" vertical="top" wrapText="1"/>
      <protection locked="0"/>
    </xf>
    <xf numFmtId="0" fontId="0" fillId="14" borderId="0" xfId="0" applyFill="1" applyAlignment="1" applyProtection="1">
      <alignment horizontal="left" vertical="top" wrapText="1"/>
      <protection locked="0"/>
    </xf>
    <xf numFmtId="0" fontId="0" fillId="14" borderId="10" xfId="0" applyFill="1" applyBorder="1" applyAlignment="1" applyProtection="1">
      <alignment horizontal="left" vertical="top" wrapText="1"/>
      <protection locked="0"/>
    </xf>
    <xf numFmtId="0" fontId="0" fillId="14" borderId="11" xfId="0" applyFill="1" applyBorder="1" applyAlignment="1" applyProtection="1">
      <alignment horizontal="left" vertical="top" wrapText="1"/>
      <protection locked="0"/>
    </xf>
    <xf numFmtId="0" fontId="0" fillId="14" borderId="2" xfId="0" applyFill="1" applyBorder="1" applyAlignment="1" applyProtection="1">
      <alignment horizontal="left" vertical="top" wrapText="1"/>
      <protection locked="0"/>
    </xf>
    <xf numFmtId="0" fontId="0" fillId="14" borderId="12" xfId="0" applyFill="1" applyBorder="1" applyAlignment="1" applyProtection="1">
      <alignment horizontal="left" vertical="top" wrapText="1"/>
      <protection locked="0"/>
    </xf>
    <xf numFmtId="0" fontId="0" fillId="0" borderId="0" xfId="0" applyAlignment="1">
      <alignment horizontal="left" vertical="top"/>
    </xf>
    <xf numFmtId="0" fontId="0" fillId="0" borderId="2" xfId="0" applyBorder="1" applyAlignment="1">
      <alignment horizontal="left" vertical="top"/>
    </xf>
    <xf numFmtId="0" fontId="0" fillId="0" borderId="0" xfId="0" applyAlignment="1">
      <alignment horizontal="left" vertical="top" wrapText="1"/>
    </xf>
    <xf numFmtId="0" fontId="0" fillId="0" borderId="0" xfId="0" applyAlignment="1">
      <alignment horizontal="left" wrapText="1"/>
    </xf>
    <xf numFmtId="0" fontId="0" fillId="0" borderId="0" xfId="0" applyAlignment="1">
      <alignment vertical="top" wrapText="1"/>
    </xf>
  </cellXfs>
  <cellStyles count="2">
    <cellStyle name="Hyperlink" xfId="1" builtinId="8"/>
    <cellStyle name="Normal" xfId="0" builtinId="0"/>
  </cellStyles>
  <dxfs count="35">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style="thin">
          <color theme="4" tint="0.39997558519241921"/>
        </left>
        <right style="thin">
          <color theme="4" tint="0.39997558519241921"/>
        </right>
        <top style="thin">
          <color theme="4" tint="0.39997558519241921"/>
        </top>
        <bottom/>
        <vertical/>
        <horizontal/>
      </border>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ill>
        <patternFill>
          <bgColor rgb="FFFFCCCC"/>
        </patternFill>
      </fill>
    </dxf>
    <dxf>
      <fill>
        <patternFill>
          <bgColor theme="9" tint="0.79998168889431442"/>
        </patternFill>
      </fill>
    </dxf>
    <dxf>
      <fill>
        <patternFill>
          <bgColor rgb="FFFFCCCC"/>
        </patternFill>
      </fill>
    </dxf>
    <dxf>
      <fill>
        <patternFill>
          <bgColor rgb="FFE2EFDA"/>
        </patternFill>
      </fill>
    </dxf>
    <dxf>
      <fill>
        <patternFill>
          <bgColor rgb="FFFFF2CC"/>
        </patternFill>
      </fill>
    </dxf>
    <dxf>
      <fill>
        <patternFill>
          <bgColor rgb="FFFFCCCC"/>
        </patternFill>
      </fill>
    </dxf>
    <dxf>
      <fill>
        <patternFill>
          <bgColor rgb="FFFFCCCC"/>
        </patternFill>
      </fill>
    </dxf>
    <dxf>
      <fill>
        <patternFill>
          <bgColor rgb="FFFFF2CC"/>
        </patternFill>
      </fill>
    </dxf>
    <dxf>
      <fill>
        <patternFill>
          <bgColor rgb="FFFFCCCC"/>
        </patternFill>
      </fill>
    </dxf>
    <dxf>
      <fill>
        <patternFill>
          <bgColor rgb="FFE2EFDA"/>
        </patternFill>
      </fill>
    </dxf>
    <dxf>
      <fill>
        <patternFill>
          <bgColor rgb="FFFFF2CC"/>
        </patternFill>
      </fill>
    </dxf>
    <dxf>
      <fill>
        <patternFill>
          <bgColor rgb="FFFFCCCC"/>
        </patternFill>
      </fill>
    </dxf>
    <dxf>
      <fill>
        <patternFill>
          <bgColor rgb="FFE2EFDA"/>
        </patternFill>
      </fill>
    </dxf>
    <dxf>
      <fill>
        <patternFill>
          <bgColor rgb="FFFFF2CC"/>
        </patternFill>
      </fill>
    </dxf>
    <dxf>
      <fill>
        <patternFill>
          <bgColor rgb="FFFFCCCC"/>
        </patternFill>
      </fill>
    </dxf>
    <dxf>
      <fill>
        <patternFill>
          <bgColor rgb="FFE2EFDA"/>
        </patternFill>
      </fill>
    </dxf>
    <dxf>
      <fill>
        <patternFill>
          <bgColor rgb="FFFFF2CC"/>
        </patternFill>
      </fill>
    </dxf>
    <dxf>
      <fill>
        <patternFill>
          <bgColor rgb="FFFFCCCC"/>
        </patternFill>
      </fill>
    </dxf>
    <dxf>
      <fill>
        <patternFill>
          <bgColor rgb="FFE2EFDA"/>
        </patternFill>
      </fill>
    </dxf>
    <dxf>
      <fill>
        <patternFill>
          <bgColor rgb="FFFFF2CC"/>
        </patternFill>
      </fill>
    </dxf>
    <dxf>
      <fill>
        <patternFill patternType="solid">
          <bgColor rgb="FFFFCCCC"/>
        </patternFill>
      </fill>
    </dxf>
    <dxf>
      <fill>
        <patternFill>
          <bgColor rgb="FFE2EFDA"/>
        </patternFill>
      </fill>
    </dxf>
    <dxf>
      <fill>
        <patternFill>
          <bgColor rgb="FFFFCCCC"/>
        </patternFill>
      </fill>
    </dxf>
    <dxf>
      <fill>
        <patternFill>
          <bgColor rgb="FFE2EFDA"/>
        </patternFill>
      </fill>
    </dxf>
    <dxf>
      <fill>
        <patternFill>
          <bgColor rgb="FFFFF2CC"/>
        </patternFill>
      </fill>
    </dxf>
    <dxf>
      <fill>
        <patternFill>
          <bgColor rgb="FFFFF2CC"/>
        </patternFill>
      </fill>
    </dxf>
    <dxf>
      <fill>
        <patternFill>
          <bgColor rgb="FFFFCCCC"/>
        </patternFill>
      </fill>
    </dxf>
    <dxf>
      <fill>
        <patternFill>
          <bgColor rgb="FFE2EFDA"/>
        </patternFill>
      </fill>
    </dxf>
    <dxf>
      <fill>
        <patternFill>
          <bgColor rgb="FFE2EFDA"/>
        </patternFill>
      </fill>
    </dxf>
    <dxf>
      <fill>
        <patternFill>
          <bgColor rgb="FFFFCCCC"/>
        </patternFill>
      </fill>
    </dxf>
  </dxfs>
  <tableStyles count="0" defaultTableStyle="TableStyleMedium2" defaultPivotStyle="PivotStyleLight16"/>
  <colors>
    <mruColors>
      <color rgb="FFFFF2CC"/>
      <color rgb="FFE2EFDA"/>
      <color rgb="FFFFCCCC"/>
      <color rgb="FFFF9999"/>
      <color rgb="FFD3FFE2"/>
      <color rgb="FFFCE4D6"/>
      <color rgb="FF99FFCC"/>
      <color rgb="FFFFFFCC"/>
      <color rgb="FF99FF99"/>
      <color rgb="FF00AB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921922391673998"/>
          <c:y val="0.13313471578169905"/>
          <c:w val="0.8443316667799543"/>
          <c:h val="0.69309177142865541"/>
        </c:manualLayout>
      </c:layout>
      <c:lineChart>
        <c:grouping val="standard"/>
        <c:varyColors val="0"/>
        <c:ser>
          <c:idx val="1"/>
          <c:order val="0"/>
          <c:tx>
            <c:strRef>
              <c:f>report!$B$50</c:f>
              <c:strCache>
                <c:ptCount val="1"/>
                <c:pt idx="0">
                  <c:v>AL0010101 (20 acres)</c:v>
                </c:pt>
              </c:strCache>
            </c:strRef>
          </c:tx>
          <c:spPr>
            <a:ln w="15875" cap="rnd">
              <a:solidFill>
                <a:schemeClr val="tx1"/>
              </a:solidFill>
              <a:round/>
            </a:ln>
            <a:effectLst/>
          </c:spPr>
          <c:marker>
            <c:symbol val="square"/>
            <c:size val="8"/>
            <c:spPr>
              <a:noFill/>
              <a:ln w="12700">
                <a:solidFill>
                  <a:schemeClr val="tx1"/>
                </a:solidFill>
              </a:ln>
              <a:effectLst/>
            </c:spPr>
          </c:marker>
          <c:cat>
            <c:numRef>
              <c:f>[0]!date</c:f>
              <c:numCache>
                <c:formatCode>m/d/yyyy</c:formatCode>
                <c:ptCount val="85"/>
                <c:pt idx="0">
                  <c:v>45677</c:v>
                </c:pt>
                <c:pt idx="1">
                  <c:v>45737</c:v>
                </c:pt>
                <c:pt idx="2">
                  <c:v>45797</c:v>
                </c:pt>
                <c:pt idx="3">
                  <c:v>45857</c:v>
                </c:pt>
                <c:pt idx="4">
                  <c:v>45917</c:v>
                </c:pt>
              </c:numCache>
            </c:numRef>
          </c:cat>
          <c:val>
            <c:numRef>
              <c:f>[0]!ct_plt_vals</c:f>
              <c:numCache>
                <c:formatCode>General</c:formatCode>
                <c:ptCount val="85"/>
                <c:pt idx="0">
                  <c:v>0.43699536147021989</c:v>
                </c:pt>
                <c:pt idx="1">
                  <c:v>554.85925324961636</c:v>
                </c:pt>
                <c:pt idx="2">
                  <c:v>3.4959628917617591E-3</c:v>
                </c:pt>
                <c:pt idx="3">
                  <c:v>1.3109860844106598</c:v>
                </c:pt>
                <c:pt idx="4">
                  <c:v>8.7399072294043977E-4</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numCache>
            </c:numRef>
          </c:val>
          <c:smooth val="0"/>
          <c:extLst>
            <c:ext xmlns:c16="http://schemas.microsoft.com/office/drawing/2014/chart" uri="{C3380CC4-5D6E-409C-BE32-E72D297353CC}">
              <c16:uniqueId val="{00000000-DCD6-41FD-B0BB-FE1E775C6DAF}"/>
            </c:ext>
          </c:extLst>
        </c:ser>
        <c:ser>
          <c:idx val="2"/>
          <c:order val="1"/>
          <c:tx>
            <c:strRef>
              <c:f>report!$B$51</c:f>
              <c:strCache>
                <c:ptCount val="1"/>
                <c:pt idx="0">
                  <c:v>AL0010102 (40 acres)</c:v>
                </c:pt>
              </c:strCache>
            </c:strRef>
          </c:tx>
          <c:spPr>
            <a:ln w="15875" cap="rnd">
              <a:solidFill>
                <a:schemeClr val="accent3"/>
              </a:solidFill>
              <a:round/>
            </a:ln>
            <a:effectLst/>
          </c:spPr>
          <c:marker>
            <c:symbol val="circle"/>
            <c:size val="8"/>
            <c:spPr>
              <a:solidFill>
                <a:schemeClr val="bg1">
                  <a:lumMod val="75000"/>
                </a:schemeClr>
              </a:solidFill>
              <a:ln w="12700">
                <a:solidFill>
                  <a:schemeClr val="tx1"/>
                </a:solidFill>
              </a:ln>
              <a:effectLst/>
            </c:spPr>
          </c:marker>
          <c:cat>
            <c:numRef>
              <c:f>[0]!date</c:f>
              <c:numCache>
                <c:formatCode>m/d/yyyy</c:formatCode>
                <c:ptCount val="85"/>
                <c:pt idx="0">
                  <c:v>45677</c:v>
                </c:pt>
                <c:pt idx="1">
                  <c:v>45737</c:v>
                </c:pt>
                <c:pt idx="2">
                  <c:v>45797</c:v>
                </c:pt>
                <c:pt idx="3">
                  <c:v>45857</c:v>
                </c:pt>
                <c:pt idx="4">
                  <c:v>45917</c:v>
                </c:pt>
              </c:numCache>
            </c:numRef>
          </c:cat>
          <c:val>
            <c:numRef>
              <c:f>[0]!tx_plt_vals</c:f>
              <c:numCache>
                <c:formatCode>General</c:formatCode>
                <c:ptCount val="85"/>
                <c:pt idx="0">
                  <c:v>4.3699536147021989E-2</c:v>
                </c:pt>
                <c:pt idx="1">
                  <c:v>0.21849768073510994</c:v>
                </c:pt>
                <c:pt idx="2">
                  <c:v>2.1849768073510996</c:v>
                </c:pt>
                <c:pt idx="3">
                  <c:v>3.9329582532319791E-3</c:v>
                </c:pt>
                <c:pt idx="4">
                  <c:v>0.24253242561597205</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numCache>
            </c:numRef>
          </c:val>
          <c:smooth val="0"/>
          <c:extLst>
            <c:ext xmlns:c16="http://schemas.microsoft.com/office/drawing/2014/chart" uri="{C3380CC4-5D6E-409C-BE32-E72D297353CC}">
              <c16:uniqueId val="{00000001-DCD6-41FD-B0BB-FE1E775C6DAF}"/>
            </c:ext>
          </c:extLst>
        </c:ser>
        <c:dLbls>
          <c:showLegendKey val="0"/>
          <c:showVal val="0"/>
          <c:showCatName val="0"/>
          <c:showSerName val="0"/>
          <c:showPercent val="0"/>
          <c:showBubbleSize val="0"/>
        </c:dLbls>
        <c:marker val="1"/>
        <c:smooth val="0"/>
        <c:axId val="320751792"/>
        <c:axId val="320750352"/>
      </c:lineChart>
      <c:dateAx>
        <c:axId val="320751792"/>
        <c:scaling>
          <c:orientation val="minMax"/>
        </c:scaling>
        <c:delete val="0"/>
        <c:axPos val="b"/>
        <c:numFmt formatCode="m/d/yyyy" sourceLinked="1"/>
        <c:majorTickMark val="none"/>
        <c:minorTickMark val="none"/>
        <c:tickLblPos val="nextTo"/>
        <c:spPr>
          <a:noFill/>
          <a:ln w="12700" cap="flat" cmpd="sng" algn="ctr">
            <a:solidFill>
              <a:schemeClr val="bg2">
                <a:lumMod val="90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320750352"/>
        <c:crosses val="autoZero"/>
        <c:auto val="1"/>
        <c:lblOffset val="100"/>
        <c:baseTimeUnit val="months"/>
      </c:dateAx>
      <c:valAx>
        <c:axId val="320750352"/>
        <c:scaling>
          <c:orientation val="minMax"/>
        </c:scaling>
        <c:delete val="0"/>
        <c:axPos val="l"/>
        <c:majorGridlines>
          <c:spPr>
            <a:ln w="9525" cap="flat" cmpd="sng" algn="ctr">
              <a:solidFill>
                <a:schemeClr val="tx1">
                  <a:lumMod val="15000"/>
                  <a:lumOff val="85000"/>
                </a:schemeClr>
              </a:solidFill>
              <a:round/>
            </a:ln>
            <a:effectLst/>
          </c:spPr>
        </c:majorGridlines>
        <c:title>
          <c:tx>
            <c:strRef>
              <c:f>report!$B$53</c:f>
              <c:strCache>
                <c:ptCount val="1"/>
                <c:pt idx="0">
                  <c:v>NH4 (lbs.)</c:v>
                </c:pt>
              </c:strCache>
            </c:strRef>
          </c:tx>
          <c:layout>
            <c:manualLayout>
              <c:xMode val="edge"/>
              <c:yMode val="edge"/>
              <c:x val="1.5170922373390268E-2"/>
              <c:y val="0.3581000454680972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a:solidFill>
              <a:schemeClr val="bg2">
                <a:lumMod val="90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751792"/>
        <c:crosses val="autoZero"/>
        <c:crossBetween val="between"/>
      </c:valAx>
      <c:spPr>
        <a:noFill/>
        <a:ln w="12700">
          <a:solidFill>
            <a:schemeClr val="bg2">
              <a:lumMod val="90000"/>
            </a:schemeClr>
          </a:solidFill>
        </a:ln>
        <a:effectLst/>
      </c:spPr>
    </c:plotArea>
    <c:legend>
      <c:legendPos val="r"/>
      <c:layout>
        <c:manualLayout>
          <c:xMode val="edge"/>
          <c:yMode val="edge"/>
          <c:x val="0.12594428595978105"/>
          <c:y val="2.1557808996732035E-2"/>
          <c:w val="0.84912110844039479"/>
          <c:h val="0.1012038657155476"/>
        </c:manualLayout>
      </c:layout>
      <c:overlay val="0"/>
      <c:spPr>
        <a:noFill/>
        <a:ln>
          <a:noFill/>
        </a:ln>
        <a:effectLst/>
      </c:spPr>
      <c:txPr>
        <a:bodyPr rot="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orientation="portrait"/>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plotArea>
      <cx:plotAreaRegion>
        <cx:plotSurface>
          <cx:spPr>
            <a:ln>
              <a:solidFill>
                <a:schemeClr val="bg2">
                  <a:lumMod val="90000"/>
                </a:schemeClr>
              </a:solidFill>
            </a:ln>
          </cx:spPr>
        </cx:plotSurface>
        <cx:series layoutId="boxWhisker" uniqueId="{2CC6C425-9943-44D9-923C-02F9DFC664AB}" formatIdx="0">
          <cx:tx>
            <cx:txData>
              <cx:f>_xlchart.v1.0</cx:f>
              <cx:v>AL0010101 (20 acres)</cx:v>
            </cx:txData>
          </cx:tx>
          <cx:spPr>
            <a:noFill/>
            <a:ln w="12700">
              <a:solidFill>
                <a:schemeClr val="tx1"/>
              </a:solidFill>
            </a:ln>
          </cx:spPr>
          <cx:dataId val="0"/>
          <cx:layoutPr>
            <cx:visibility meanLine="1" meanMarker="0" nonoutliers="0" outliers="1"/>
            <cx:statistics quartileMethod="exclusive"/>
          </cx:layoutPr>
        </cx:series>
        <cx:series layoutId="boxWhisker" uniqueId="{00000001-FD1C-4912-8D2F-26E67B8934FE}" formatIdx="1">
          <cx:tx>
            <cx:txData>
              <cx:f>_xlchart.v1.1</cx:f>
              <cx:v>AL0010102 (40 acres)</cx:v>
            </cx:txData>
          </cx:tx>
          <cx:spPr>
            <a:solidFill>
              <a:schemeClr val="bg1">
                <a:lumMod val="75000"/>
              </a:schemeClr>
            </a:solidFill>
            <a:ln w="12700">
              <a:solidFill>
                <a:schemeClr val="tx1"/>
              </a:solidFill>
            </a:ln>
          </cx:spPr>
          <cx:dataId val="1"/>
          <cx:layoutPr>
            <cx:visibility meanLine="1" meanMarker="0" nonoutliers="0"/>
            <cx:statistics quartileMethod="exclusive"/>
          </cx:layoutPr>
        </cx:series>
      </cx:plotAreaRegion>
      <cx:axis id="0" hidden="1">
        <cx:catScaling gapWidth="1"/>
        <cx:tickLabels/>
      </cx:axis>
      <cx:axis id="1">
        <cx:valScaling/>
        <cx:title>
          <cx:tx>
            <cx:txData>
              <cx:v>Axis Title</cx:v>
            </cx:txData>
          </cx:tx>
          <cx:txPr>
            <a:bodyPr vertOverflow="overflow" horzOverflow="overflow" wrap="square" lIns="0" tIns="0" rIns="0" bIns="0"/>
            <a:lstStyle/>
            <a:p>
              <a:pPr algn="ctr" rtl="0">
                <a:defRPr sz="9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Axis Title</a:t>
              </a:r>
            </a:p>
          </cx:txPr>
        </cx:title>
        <cx:tickLabels/>
        <cx:numFmt formatCode="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legend pos="r" align="ctr" overlay="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legend>
  </cx:chart>
  <cx:spPr>
    <a:ln w="12700">
      <a:solidFill>
        <a:schemeClr val="tx1"/>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1.xml"/><Relationship Id="rId1" Type="http://schemas.microsoft.com/office/2014/relationships/chartEx" Target="../charts/chartEx1.xml"/><Relationship Id="rId4" Type="http://schemas.microsoft.com/office/2007/relationships/hdphoto" Target="../media/hdphoto1.wdp"/></Relationships>
</file>

<file path=xl/drawings/drawing1.xml><?xml version="1.0" encoding="utf-8"?>
<xdr:wsDr xmlns:xdr="http://schemas.openxmlformats.org/drawingml/2006/spreadsheetDrawing" xmlns:a="http://schemas.openxmlformats.org/drawingml/2006/main">
  <xdr:twoCellAnchor editAs="oneCell">
    <xdr:from>
      <xdr:col>0</xdr:col>
      <xdr:colOff>34636</xdr:colOff>
      <xdr:row>2</xdr:row>
      <xdr:rowOff>13094</xdr:rowOff>
    </xdr:from>
    <xdr:to>
      <xdr:col>3</xdr:col>
      <xdr:colOff>3025588</xdr:colOff>
      <xdr:row>2</xdr:row>
      <xdr:rowOff>5177117</xdr:rowOff>
    </xdr:to>
    <xdr:pic>
      <xdr:nvPicPr>
        <xdr:cNvPr id="6" name="Picture 5">
          <a:extLst>
            <a:ext uri="{FF2B5EF4-FFF2-40B4-BE49-F238E27FC236}">
              <a16:creationId xmlns:a16="http://schemas.microsoft.com/office/drawing/2014/main" id="{B8A15DFB-D3DC-8513-81B4-1C0C3C6ACEC4}"/>
            </a:ext>
          </a:extLst>
        </xdr:cNvPr>
        <xdr:cNvPicPr>
          <a:picLocks noChangeAspect="1"/>
        </xdr:cNvPicPr>
      </xdr:nvPicPr>
      <xdr:blipFill rotWithShape="1">
        <a:blip xmlns:r="http://schemas.openxmlformats.org/officeDocument/2006/relationships" r:embed="rId1"/>
        <a:srcRect t="4909"/>
        <a:stretch/>
      </xdr:blipFill>
      <xdr:spPr>
        <a:xfrm>
          <a:off x="34636" y="506153"/>
          <a:ext cx="7282805" cy="5164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18097</xdr:colOff>
      <xdr:row>32</xdr:row>
      <xdr:rowOff>35718</xdr:rowOff>
    </xdr:from>
    <xdr:to>
      <xdr:col>7</xdr:col>
      <xdr:colOff>23812</xdr:colOff>
      <xdr:row>32</xdr:row>
      <xdr:rowOff>271937</xdr:rowOff>
    </xdr:to>
    <xdr:sp macro="[0]!Clear_Data_Table" textlink="">
      <xdr:nvSpPr>
        <xdr:cNvPr id="8" name="Rectangle: Rounded Corners 1">
          <a:extLst>
            <a:ext uri="{FF2B5EF4-FFF2-40B4-BE49-F238E27FC236}">
              <a16:creationId xmlns:a16="http://schemas.microsoft.com/office/drawing/2014/main" id="{00000000-0008-0000-0100-000008000000}"/>
            </a:ext>
          </a:extLst>
        </xdr:cNvPr>
        <xdr:cNvSpPr/>
      </xdr:nvSpPr>
      <xdr:spPr>
        <a:xfrm>
          <a:off x="6852285" y="5119687"/>
          <a:ext cx="1386840" cy="236219"/>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Clear Table Values</a:t>
          </a:r>
        </a:p>
      </xdr:txBody>
    </xdr:sp>
    <xdr:clientData/>
  </xdr:twoCellAnchor>
  <xdr:twoCellAnchor>
    <xdr:from>
      <xdr:col>6</xdr:col>
      <xdr:colOff>0</xdr:colOff>
      <xdr:row>1</xdr:row>
      <xdr:rowOff>33813</xdr:rowOff>
    </xdr:from>
    <xdr:to>
      <xdr:col>7</xdr:col>
      <xdr:colOff>8571</xdr:colOff>
      <xdr:row>1</xdr:row>
      <xdr:rowOff>276225</xdr:rowOff>
    </xdr:to>
    <xdr:sp macro="[0]!Clear_All_Values" textlink="">
      <xdr:nvSpPr>
        <xdr:cNvPr id="7" name="Rectangle: Rounded Corners 3">
          <a:extLst>
            <a:ext uri="{FF2B5EF4-FFF2-40B4-BE49-F238E27FC236}">
              <a16:creationId xmlns:a16="http://schemas.microsoft.com/office/drawing/2014/main" id="{00000000-0008-0000-0100-000007000000}"/>
            </a:ext>
          </a:extLst>
        </xdr:cNvPr>
        <xdr:cNvSpPr/>
      </xdr:nvSpPr>
      <xdr:spPr>
        <a:xfrm>
          <a:off x="7029450" y="357663"/>
          <a:ext cx="1427796" cy="242412"/>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Clear All Values</a:t>
          </a:r>
        </a:p>
      </xdr:txBody>
    </xdr:sp>
    <xdr:clientData/>
  </xdr:twoCellAnchor>
  <xdr:twoCellAnchor editAs="oneCell">
    <xdr:from>
      <xdr:col>6</xdr:col>
      <xdr:colOff>20955</xdr:colOff>
      <xdr:row>0</xdr:row>
      <xdr:rowOff>68580</xdr:rowOff>
    </xdr:from>
    <xdr:to>
      <xdr:col>7</xdr:col>
      <xdr:colOff>1010457</xdr:colOff>
      <xdr:row>0</xdr:row>
      <xdr:rowOff>289225</xdr:rowOff>
    </xdr:to>
    <xdr:pic>
      <xdr:nvPicPr>
        <xdr:cNvPr id="6" name="Picture 4">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64880" y="68580"/>
          <a:ext cx="2395392" cy="224455"/>
        </a:xfrm>
        <a:prstGeom prst="rect">
          <a:avLst/>
        </a:prstGeom>
      </xdr:spPr>
    </xdr:pic>
    <xdr:clientData/>
  </xdr:twoCellAnchor>
  <xdr:oneCellAnchor>
    <xdr:from>
      <xdr:col>25</xdr:col>
      <xdr:colOff>281940</xdr:colOff>
      <xdr:row>7</xdr:row>
      <xdr:rowOff>0</xdr:rowOff>
    </xdr:from>
    <xdr:ext cx="65" cy="172227"/>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2366333" y="111578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xdr:from>
      <xdr:col>6</xdr:col>
      <xdr:colOff>18097</xdr:colOff>
      <xdr:row>19</xdr:row>
      <xdr:rowOff>35718</xdr:rowOff>
    </xdr:from>
    <xdr:to>
      <xdr:col>7</xdr:col>
      <xdr:colOff>23812</xdr:colOff>
      <xdr:row>19</xdr:row>
      <xdr:rowOff>271937</xdr:rowOff>
    </xdr:to>
    <xdr:sp macro="[0]!printButton_Click"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047547" y="2502693"/>
          <a:ext cx="1424940" cy="236219"/>
        </a:xfrm>
        <a:prstGeom prst="roundRect">
          <a:avLst/>
        </a:prstGeom>
        <a:solidFill>
          <a:schemeClr val="accent3">
            <a:lumMod val="60000"/>
            <a:lumOff val="40000"/>
          </a:schemeClr>
        </a:solidFill>
        <a:ln>
          <a:solidFill>
            <a:sysClr val="windowText" lastClr="000000"/>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200" b="1">
              <a:solidFill>
                <a:sysClr val="windowText" lastClr="000000"/>
              </a:solidFill>
            </a:rPr>
            <a:t>Print 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60499</xdr:colOff>
      <xdr:row>55</xdr:row>
      <xdr:rowOff>60561</xdr:rowOff>
    </xdr:from>
    <xdr:to>
      <xdr:col>4</xdr:col>
      <xdr:colOff>986553</xdr:colOff>
      <xdr:row>69</xdr:row>
      <xdr:rowOff>20220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6689" y="11705826"/>
              <a:ext cx="6080984" cy="254093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75446</xdr:colOff>
      <xdr:row>71</xdr:row>
      <xdr:rowOff>20516</xdr:rowOff>
    </xdr:from>
    <xdr:to>
      <xdr:col>4</xdr:col>
      <xdr:colOff>950897</xdr:colOff>
      <xdr:row>82</xdr:row>
      <xdr:rowOff>249116</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132338</xdr:colOff>
      <xdr:row>58</xdr:row>
      <xdr:rowOff>152452</xdr:rowOff>
    </xdr:from>
    <xdr:to>
      <xdr:col>0</xdr:col>
      <xdr:colOff>371562</xdr:colOff>
      <xdr:row>66</xdr:row>
      <xdr:rowOff>91111</xdr:rowOff>
    </xdr:to>
    <xdr:sp macro="" textlink="$B$53">
      <xdr:nvSpPr>
        <xdr:cNvPr id="4" name="TextBox 3">
          <a:extLst>
            <a:ext uri="{FF2B5EF4-FFF2-40B4-BE49-F238E27FC236}">
              <a16:creationId xmlns:a16="http://schemas.microsoft.com/office/drawing/2014/main" id="{00000000-0008-0000-0200-000004000000}"/>
            </a:ext>
          </a:extLst>
        </xdr:cNvPr>
        <xdr:cNvSpPr txBox="1"/>
      </xdr:nvSpPr>
      <xdr:spPr>
        <a:xfrm rot="16200000">
          <a:off x="-479380" y="13461409"/>
          <a:ext cx="1462659" cy="239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37F76B2-ED79-4E50-85BC-291172FBC8E4}" type="TxLink">
            <a:rPr lang="en-US" sz="1000" b="0" i="0" u="none" strike="noStrike">
              <a:solidFill>
                <a:srgbClr val="000000"/>
              </a:solidFill>
              <a:latin typeface="Calibri"/>
              <a:cs typeface="Calibri"/>
            </a:rPr>
            <a:pPr algn="ctr"/>
            <a:t>NH4 (lbs.)</a:t>
          </a:fld>
          <a:endParaRPr lang="en-US" sz="1000"/>
        </a:p>
      </xdr:txBody>
    </xdr:sp>
    <xdr:clientData/>
  </xdr:twoCellAnchor>
  <xdr:twoCellAnchor editAs="oneCell">
    <xdr:from>
      <xdr:col>3</xdr:col>
      <xdr:colOff>198045</xdr:colOff>
      <xdr:row>0</xdr:row>
      <xdr:rowOff>37722</xdr:rowOff>
    </xdr:from>
    <xdr:to>
      <xdr:col>5</xdr:col>
      <xdr:colOff>477426</xdr:colOff>
      <xdr:row>1</xdr:row>
      <xdr:rowOff>19759</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3" cstate="print">
          <a:duotone>
            <a:prstClr val="black"/>
            <a:schemeClr val="accent3">
              <a:tint val="45000"/>
              <a:satMod val="400000"/>
            </a:schemeClr>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4158936" y="235767"/>
          <a:ext cx="2369185" cy="213995"/>
        </a:xfrm>
        <a:prstGeom prst="rect">
          <a:avLst/>
        </a:prstGeom>
      </xdr:spPr>
    </xdr:pic>
    <xdr:clientData/>
  </xdr:twoCellAnchor>
  <xdr:twoCellAnchor editAs="oneCell">
    <xdr:from>
      <xdr:col>3</xdr:col>
      <xdr:colOff>207475</xdr:colOff>
      <xdr:row>40</xdr:row>
      <xdr:rowOff>66014</xdr:rowOff>
    </xdr:from>
    <xdr:to>
      <xdr:col>5</xdr:col>
      <xdr:colOff>479236</xdr:colOff>
      <xdr:row>41</xdr:row>
      <xdr:rowOff>49957</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3" cstate="print">
          <a:duotone>
            <a:prstClr val="black"/>
            <a:schemeClr val="accent3">
              <a:tint val="45000"/>
              <a:satMod val="400000"/>
            </a:schemeClr>
          </a:duotone>
          <a:extLst>
            <a:ext uri="{BEBA8EAE-BF5A-486C-A8C5-ECC9F3942E4B}">
              <a14:imgProps xmlns:a14="http://schemas.microsoft.com/office/drawing/2010/main">
                <a14:imgLayer r:embed="rId4">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4168366" y="9355247"/>
          <a:ext cx="2369185" cy="21399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Roth, Jason - FPAC-NRCS, OR" id="{69F21FE4-F0D9-4B48-AC6B-3672BCB8D8E4}" userId="S::jason.roth@usda.gov::cf6c01e9-45b7-43e0-bd67-81b273f66df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8BFBF3-278B-4403-8595-7ADC3A7BBB50}" name="parameter_tab" displayName="parameter_tab" ref="D10:G34" totalsRowShown="0" headerRowDxfId="4">
  <autoFilter ref="D10:G34" xr:uid="{C58BFBF3-278B-4403-8595-7ADC3A7BBB50}"/>
  <tableColumns count="4">
    <tableColumn id="1" xr3:uid="{27700EE0-FA8A-4FBF-A0D5-5B2EB2C92F61}" name="parameter"/>
    <tableColumn id="2" xr3:uid="{8E4D609E-2D4A-45C5-8F82-C2E6BF5E0E0C}" name="metric"/>
    <tableColumn id="3" xr3:uid="{D2BDE4C1-F3A3-4041-B31E-45E198CDAE85}" name="unit"/>
    <tableColumn id="4" xr3:uid="{DEE4E7FC-A451-4377-83A6-03BF3565FF89}" name="conv_fac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E20CAB-CD3A-4335-928C-79E92F58232B}" name="practice_tab" displayName="practice_tab" ref="A10:B190" totalsRowShown="0" headerRowDxfId="3">
  <autoFilter ref="A10:B190" xr:uid="{9AE20CAB-CD3A-4335-928C-79E92F58232B}"/>
  <tableColumns count="2">
    <tableColumn id="1" xr3:uid="{B492DA5D-61AF-4735-B1C6-72137F61EB5D}" name="cps_code"/>
    <tableColumn id="2" xr3:uid="{FC734B1F-4390-4407-AAFB-DF616D3E0BD1}" name="cps_name" dataDxfId="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0D132E8-65C2-46FD-9CFD-8D6F367634AC}" name="alpha_tab" displayName="alpha_tab" ref="N10:N13" totalsRowShown="0" headerRowDxfId="1">
  <autoFilter ref="N10:N13" xr:uid="{20D132E8-65C2-46FD-9CFD-8D6F367634AC}"/>
  <tableColumns count="1">
    <tableColumn id="1" xr3:uid="{4E6444CA-FFD6-4E3E-A893-DBE4A784D64E}" name="Alpha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7E3AE7-C90C-47A9-968F-B41C0A66515C}" name="comp_tab" displayName="comp_tab" ref="P10:P12" totalsRowShown="0" headerRowDxfId="0">
  <autoFilter ref="P10:P12" xr:uid="{537E3AE7-C90C-47A9-968F-B41C0A66515C}"/>
  <tableColumns count="1">
    <tableColumn id="1" xr3:uid="{2E3772E8-D0B4-451B-BBA3-F7E49217AB86}" name="Comparison Typ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 dT="2023-06-06T21:01:23.92" personId="{69F21FE4-F0D9-4B48-AC6B-3672BCB8D8E4}" id="{BC372544-D94E-4C57-BEEF-21BDA9C8F7C6}">
    <text xml:space="preserve">Merge these into one table. You can reference a table column from a table </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7" Type="http://schemas.microsoft.com/office/2017/10/relationships/threadedComment" Target="../threadedComments/threadedComment1.xml"/><Relationship Id="rId2" Type="http://schemas.openxmlformats.org/officeDocument/2006/relationships/table" Target="../tables/table1.xml"/><Relationship Id="rId1" Type="http://schemas.openxmlformats.org/officeDocument/2006/relationships/vmlDrawing" Target="../drawings/vmlDrawing1.vml"/><Relationship Id="rId6" Type="http://schemas.openxmlformats.org/officeDocument/2006/relationships/comments" Target="../comments1.xml"/><Relationship Id="rId5" Type="http://schemas.openxmlformats.org/officeDocument/2006/relationships/table" Target="../tables/table4.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hyperlink" Target="https://www.epa.gov/sites/default/files/2016-06/documents/chapter_7_may_2016_508.pdf" TargetMode="External"/><Relationship Id="rId2" Type="http://schemas.openxmlformats.org/officeDocument/2006/relationships/hyperlink" Target="https://real-statistics.com/tests-normality-and-symmetry/statistical-tests-normality-symmetry/shapiro-wilk-expanded-test/" TargetMode="External"/><Relationship Id="rId1" Type="http://schemas.openxmlformats.org/officeDocument/2006/relationships/hyperlink" Target="https://www.automateexcel.com/stats/shapiro-wilk-royston-test/" TargetMode="External"/><Relationship Id="rId5" Type="http://schemas.openxmlformats.org/officeDocument/2006/relationships/hyperlink" Target="https://support.microsoft.com/en-au/office/ftest-function-4c9e1202-53fe-428c-a737-976f6fc3f9fd" TargetMode="External"/><Relationship Id="rId4" Type="http://schemas.openxmlformats.org/officeDocument/2006/relationships/hyperlink" Target="https://real-statistics.com/non-parametric-tests/wilcoxon-signed-ranks-tes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B3B1F-30E7-4A2A-8AC5-B50768F1AD4C}">
  <sheetPr codeName="Sheet1"/>
  <dimension ref="A1:XFC50"/>
  <sheetViews>
    <sheetView tabSelected="1" zoomScale="85" zoomScaleNormal="85" workbookViewId="0">
      <pane ySplit="3" topLeftCell="A4" activePane="bottomLeft" state="frozen"/>
      <selection pane="bottomLeft" activeCell="C11" sqref="A4:D45"/>
    </sheetView>
  </sheetViews>
  <sheetFormatPr defaultColWidth="0" defaultRowHeight="14.4" zeroHeight="1" x14ac:dyDescent="0.3"/>
  <cols>
    <col min="1" max="1" width="6.6640625" customWidth="1"/>
    <col min="2" max="2" width="22.109375" customWidth="1"/>
    <col min="3" max="3" width="35.44140625" customWidth="1"/>
    <col min="4" max="4" width="151.6640625" customWidth="1"/>
    <col min="5" max="16383" width="9.109375" hidden="1"/>
    <col min="16384" max="16384" width="23.88671875" hidden="1" customWidth="1"/>
  </cols>
  <sheetData>
    <row r="1" spans="1:4" s="129" customFormat="1" ht="18.600000000000001" thickBot="1" x14ac:dyDescent="0.4">
      <c r="A1" s="128" t="s">
        <v>0</v>
      </c>
    </row>
    <row r="2" spans="1:4" s="50" customFormat="1" ht="19.5" customHeight="1" thickBot="1" x14ac:dyDescent="0.35">
      <c r="A2" s="171" t="s">
        <v>1</v>
      </c>
      <c r="B2" s="172"/>
      <c r="C2" s="172"/>
      <c r="D2" s="172"/>
    </row>
    <row r="3" spans="1:4" s="130" customFormat="1" ht="408.75" customHeight="1" thickBot="1" x14ac:dyDescent="0.35">
      <c r="B3" s="135"/>
    </row>
    <row r="4" spans="1:4" s="50" customFormat="1" ht="21.6" thickBot="1" x14ac:dyDescent="0.35">
      <c r="A4" s="132" t="s">
        <v>2</v>
      </c>
      <c r="B4" s="133"/>
      <c r="C4" s="133"/>
    </row>
    <row r="5" spans="1:4" ht="15.6" x14ac:dyDescent="0.3">
      <c r="A5" s="51" t="s">
        <v>3</v>
      </c>
      <c r="B5" s="127"/>
      <c r="C5" s="127"/>
    </row>
    <row r="6" spans="1:4" s="50" customFormat="1" ht="16.2" thickBot="1" x14ac:dyDescent="0.35">
      <c r="A6" s="134" t="s">
        <v>4</v>
      </c>
      <c r="B6" s="134" t="s">
        <v>5</v>
      </c>
      <c r="C6" s="134" t="s">
        <v>6</v>
      </c>
      <c r="D6" s="131" t="s">
        <v>7</v>
      </c>
    </row>
    <row r="7" spans="1:4" x14ac:dyDescent="0.3">
      <c r="A7" s="145">
        <v>1</v>
      </c>
      <c r="B7" s="146" t="s">
        <v>8</v>
      </c>
      <c r="C7" s="146" t="s">
        <v>9</v>
      </c>
      <c r="D7" s="153" t="s">
        <v>10</v>
      </c>
    </row>
    <row r="8" spans="1:4" ht="43.2" x14ac:dyDescent="0.3">
      <c r="A8" s="147">
        <v>2</v>
      </c>
      <c r="B8" s="148" t="s">
        <v>11</v>
      </c>
      <c r="C8" s="148" t="s">
        <v>12</v>
      </c>
      <c r="D8" s="154" t="s">
        <v>13</v>
      </c>
    </row>
    <row r="9" spans="1:4" x14ac:dyDescent="0.3">
      <c r="A9" s="147">
        <v>3</v>
      </c>
      <c r="B9" s="148" t="s">
        <v>14</v>
      </c>
      <c r="C9" s="148" t="s">
        <v>15</v>
      </c>
      <c r="D9" s="154" t="s">
        <v>16</v>
      </c>
    </row>
    <row r="10" spans="1:4" x14ac:dyDescent="0.3">
      <c r="A10" s="147">
        <v>4</v>
      </c>
      <c r="B10" s="148" t="s">
        <v>17</v>
      </c>
      <c r="C10" s="148" t="s">
        <v>15</v>
      </c>
      <c r="D10" s="154" t="s">
        <v>18</v>
      </c>
    </row>
    <row r="11" spans="1:4" ht="43.2" x14ac:dyDescent="0.3">
      <c r="A11" s="147">
        <v>5</v>
      </c>
      <c r="B11" s="148" t="s">
        <v>19</v>
      </c>
      <c r="C11" s="148" t="s">
        <v>20</v>
      </c>
      <c r="D11" s="154" t="s">
        <v>21</v>
      </c>
    </row>
    <row r="12" spans="1:4" x14ac:dyDescent="0.3">
      <c r="A12" s="147">
        <v>6</v>
      </c>
      <c r="B12" s="148" t="s">
        <v>22</v>
      </c>
      <c r="C12" s="148" t="s">
        <v>15</v>
      </c>
      <c r="D12" s="154" t="s">
        <v>23</v>
      </c>
    </row>
    <row r="13" spans="1:4" x14ac:dyDescent="0.3">
      <c r="A13" s="147">
        <v>7</v>
      </c>
      <c r="B13" s="148" t="s">
        <v>24</v>
      </c>
      <c r="C13" s="148" t="s">
        <v>15</v>
      </c>
      <c r="D13" s="154" t="s">
        <v>25</v>
      </c>
    </row>
    <row r="14" spans="1:4" x14ac:dyDescent="0.3">
      <c r="A14" s="147">
        <v>8</v>
      </c>
      <c r="B14" s="148" t="s">
        <v>26</v>
      </c>
      <c r="C14" s="148" t="s">
        <v>20</v>
      </c>
      <c r="D14" s="154" t="s">
        <v>27</v>
      </c>
    </row>
    <row r="15" spans="1:4" x14ac:dyDescent="0.3">
      <c r="A15" s="147">
        <v>9</v>
      </c>
      <c r="B15" s="148" t="s">
        <v>28</v>
      </c>
      <c r="C15" s="148" t="s">
        <v>15</v>
      </c>
      <c r="D15" s="154" t="s">
        <v>29</v>
      </c>
    </row>
    <row r="16" spans="1:4" x14ac:dyDescent="0.3">
      <c r="A16" s="147">
        <v>10</v>
      </c>
      <c r="B16" s="148" t="s">
        <v>30</v>
      </c>
      <c r="C16" s="148" t="s">
        <v>15</v>
      </c>
      <c r="D16" s="154" t="s">
        <v>31</v>
      </c>
    </row>
    <row r="17" spans="1:4" ht="43.2" x14ac:dyDescent="0.3">
      <c r="A17" s="147">
        <v>11</v>
      </c>
      <c r="B17" s="148" t="s">
        <v>32</v>
      </c>
      <c r="C17" s="148" t="s">
        <v>20</v>
      </c>
      <c r="D17" s="154" t="s">
        <v>33</v>
      </c>
    </row>
    <row r="18" spans="1:4" x14ac:dyDescent="0.3">
      <c r="A18" s="147">
        <v>12</v>
      </c>
      <c r="B18" s="148" t="s">
        <v>34</v>
      </c>
      <c r="C18" s="148" t="s">
        <v>20</v>
      </c>
      <c r="D18" s="154" t="s">
        <v>35</v>
      </c>
    </row>
    <row r="19" spans="1:4" x14ac:dyDescent="0.3">
      <c r="A19" s="147">
        <v>13</v>
      </c>
      <c r="B19" s="148" t="s">
        <v>36</v>
      </c>
      <c r="C19" s="148" t="s">
        <v>20</v>
      </c>
      <c r="D19" s="154" t="s">
        <v>37</v>
      </c>
    </row>
    <row r="20" spans="1:4" x14ac:dyDescent="0.3">
      <c r="A20" s="147">
        <v>14</v>
      </c>
      <c r="B20" s="148" t="s">
        <v>38</v>
      </c>
      <c r="C20" s="148" t="s">
        <v>39</v>
      </c>
      <c r="D20" s="154" t="s">
        <v>40</v>
      </c>
    </row>
    <row r="21" spans="1:4" s="50" customFormat="1" ht="15" thickBot="1" x14ac:dyDescent="0.35">
      <c r="A21" s="150">
        <v>15</v>
      </c>
      <c r="B21" s="151" t="s">
        <v>41</v>
      </c>
      <c r="C21" s="151" t="s">
        <v>15</v>
      </c>
      <c r="D21" s="164" t="s">
        <v>42</v>
      </c>
    </row>
    <row r="22" spans="1:4" ht="15.6" x14ac:dyDescent="0.3">
      <c r="A22" s="161" t="s">
        <v>43</v>
      </c>
      <c r="B22" s="162"/>
      <c r="C22" s="162"/>
      <c r="D22" s="163"/>
    </row>
    <row r="23" spans="1:4" s="50" customFormat="1" ht="15" thickBot="1" x14ac:dyDescent="0.35">
      <c r="A23" s="158" t="s">
        <v>4</v>
      </c>
      <c r="B23" s="159" t="s">
        <v>5</v>
      </c>
      <c r="C23" s="159" t="s">
        <v>6</v>
      </c>
      <c r="D23" s="160" t="s">
        <v>7</v>
      </c>
    </row>
    <row r="24" spans="1:4" x14ac:dyDescent="0.3">
      <c r="A24" s="155">
        <v>16</v>
      </c>
      <c r="B24" s="156" t="s">
        <v>44</v>
      </c>
      <c r="C24" s="156" t="s">
        <v>9</v>
      </c>
      <c r="D24" s="157" t="s">
        <v>45</v>
      </c>
    </row>
    <row r="25" spans="1:4" x14ac:dyDescent="0.3">
      <c r="A25" s="147">
        <v>17</v>
      </c>
      <c r="B25" s="148" t="s">
        <v>46</v>
      </c>
      <c r="C25" s="148" t="s">
        <v>39</v>
      </c>
      <c r="D25" s="149" t="s">
        <v>47</v>
      </c>
    </row>
    <row r="26" spans="1:4" x14ac:dyDescent="0.3">
      <c r="A26" s="147">
        <v>18</v>
      </c>
      <c r="B26" s="148" t="s">
        <v>48</v>
      </c>
      <c r="C26" s="148" t="s">
        <v>39</v>
      </c>
      <c r="D26" s="149" t="s">
        <v>49</v>
      </c>
    </row>
    <row r="27" spans="1:4" x14ac:dyDescent="0.3">
      <c r="A27" s="147">
        <v>19</v>
      </c>
      <c r="B27" s="148" t="s">
        <v>50</v>
      </c>
      <c r="C27" s="148" t="s">
        <v>39</v>
      </c>
      <c r="D27" s="149" t="s">
        <v>51</v>
      </c>
    </row>
    <row r="28" spans="1:4" x14ac:dyDescent="0.3">
      <c r="A28" s="147">
        <v>20</v>
      </c>
      <c r="B28" s="148" t="s">
        <v>52</v>
      </c>
      <c r="C28" s="148" t="s">
        <v>39</v>
      </c>
      <c r="D28" s="149" t="s">
        <v>53</v>
      </c>
    </row>
    <row r="29" spans="1:4" x14ac:dyDescent="0.3">
      <c r="A29" s="147">
        <v>21</v>
      </c>
      <c r="B29" s="148" t="s">
        <v>54</v>
      </c>
      <c r="C29" s="148" t="s">
        <v>39</v>
      </c>
      <c r="D29" s="149" t="s">
        <v>55</v>
      </c>
    </row>
    <row r="30" spans="1:4" x14ac:dyDescent="0.3">
      <c r="A30" s="147">
        <v>22</v>
      </c>
      <c r="B30" s="148" t="s">
        <v>56</v>
      </c>
      <c r="C30" s="148" t="s">
        <v>39</v>
      </c>
      <c r="D30" s="149" t="s">
        <v>57</v>
      </c>
    </row>
    <row r="31" spans="1:4" x14ac:dyDescent="0.3">
      <c r="A31" s="147">
        <v>23</v>
      </c>
      <c r="B31" s="148" t="s">
        <v>48</v>
      </c>
      <c r="C31" s="148" t="s">
        <v>39</v>
      </c>
      <c r="D31" s="149" t="s">
        <v>58</v>
      </c>
    </row>
    <row r="32" spans="1:4" ht="28.8" x14ac:dyDescent="0.3">
      <c r="A32" s="147">
        <v>24</v>
      </c>
      <c r="B32" s="148" t="s">
        <v>59</v>
      </c>
      <c r="C32" s="148" t="s">
        <v>39</v>
      </c>
      <c r="D32" s="149" t="s">
        <v>60</v>
      </c>
    </row>
    <row r="33" spans="1:4" ht="43.2" x14ac:dyDescent="0.3">
      <c r="A33" s="147">
        <v>25</v>
      </c>
      <c r="B33" s="148" t="s">
        <v>61</v>
      </c>
      <c r="C33" s="148" t="s">
        <v>39</v>
      </c>
      <c r="D33" s="149" t="s">
        <v>62</v>
      </c>
    </row>
    <row r="34" spans="1:4" ht="28.8" x14ac:dyDescent="0.3">
      <c r="A34" s="147">
        <v>26</v>
      </c>
      <c r="B34" s="148" t="s">
        <v>63</v>
      </c>
      <c r="C34" s="148" t="s">
        <v>39</v>
      </c>
      <c r="D34" s="149" t="s">
        <v>64</v>
      </c>
    </row>
    <row r="35" spans="1:4" ht="15" thickBot="1" x14ac:dyDescent="0.35">
      <c r="A35" s="150" t="s">
        <v>65</v>
      </c>
      <c r="B35" s="151" t="s">
        <v>66</v>
      </c>
      <c r="C35" s="151" t="s">
        <v>39</v>
      </c>
      <c r="D35" s="152" t="s">
        <v>67</v>
      </c>
    </row>
    <row r="36" spans="1:4" ht="15.6" x14ac:dyDescent="0.3">
      <c r="A36" s="51" t="s">
        <v>68</v>
      </c>
      <c r="B36" s="127"/>
      <c r="C36" s="127"/>
    </row>
    <row r="37" spans="1:4" s="50" customFormat="1" ht="15" thickBot="1" x14ac:dyDescent="0.35">
      <c r="A37" s="134" t="s">
        <v>4</v>
      </c>
      <c r="B37" s="134" t="s">
        <v>5</v>
      </c>
      <c r="C37" s="134" t="s">
        <v>6</v>
      </c>
      <c r="D37" s="134" t="s">
        <v>7</v>
      </c>
    </row>
    <row r="38" spans="1:4" x14ac:dyDescent="0.3">
      <c r="A38" s="136">
        <v>32</v>
      </c>
      <c r="B38" s="137" t="s">
        <v>69</v>
      </c>
      <c r="C38" s="137" t="s">
        <v>9</v>
      </c>
      <c r="D38" s="138" t="s">
        <v>70</v>
      </c>
    </row>
    <row r="39" spans="1:4" x14ac:dyDescent="0.3">
      <c r="A39" s="139">
        <v>33</v>
      </c>
      <c r="B39" s="140" t="s">
        <v>71</v>
      </c>
      <c r="C39" s="140" t="s">
        <v>39</v>
      </c>
      <c r="D39" s="141" t="s">
        <v>72</v>
      </c>
    </row>
    <row r="40" spans="1:4" x14ac:dyDescent="0.3">
      <c r="A40" s="139">
        <v>34</v>
      </c>
      <c r="B40" s="140" t="s">
        <v>73</v>
      </c>
      <c r="C40" s="140" t="s">
        <v>15</v>
      </c>
      <c r="D40" s="141" t="s">
        <v>74</v>
      </c>
    </row>
    <row r="41" spans="1:4" x14ac:dyDescent="0.3">
      <c r="A41" s="139">
        <v>35</v>
      </c>
      <c r="B41" s="140" t="s">
        <v>75</v>
      </c>
      <c r="C41" s="140" t="s">
        <v>15</v>
      </c>
      <c r="D41" s="141" t="s">
        <v>76</v>
      </c>
    </row>
    <row r="42" spans="1:4" x14ac:dyDescent="0.3">
      <c r="A42" s="139">
        <v>36</v>
      </c>
      <c r="B42" s="140" t="s">
        <v>77</v>
      </c>
      <c r="C42" s="140" t="s">
        <v>15</v>
      </c>
      <c r="D42" s="141" t="s">
        <v>78</v>
      </c>
    </row>
    <row r="43" spans="1:4" x14ac:dyDescent="0.3">
      <c r="A43" s="139">
        <v>37</v>
      </c>
      <c r="B43" s="140" t="s">
        <v>79</v>
      </c>
      <c r="C43" s="140" t="s">
        <v>15</v>
      </c>
      <c r="D43" s="141" t="s">
        <v>80</v>
      </c>
    </row>
    <row r="44" spans="1:4" x14ac:dyDescent="0.3">
      <c r="A44" s="139">
        <v>38</v>
      </c>
      <c r="B44" s="140" t="s">
        <v>81</v>
      </c>
      <c r="C44" s="140" t="s">
        <v>15</v>
      </c>
      <c r="D44" s="141" t="s">
        <v>82</v>
      </c>
    </row>
    <row r="45" spans="1:4" ht="15" thickBot="1" x14ac:dyDescent="0.35">
      <c r="A45" s="142">
        <v>39</v>
      </c>
      <c r="B45" s="143" t="s">
        <v>83</v>
      </c>
      <c r="C45" s="143" t="s">
        <v>39</v>
      </c>
      <c r="D45" s="144" t="s">
        <v>84</v>
      </c>
    </row>
    <row r="46" spans="1:4" ht="18" hidden="1" customHeight="1" x14ac:dyDescent="0.3">
      <c r="D46" s="165"/>
    </row>
    <row r="47" spans="1:4" ht="33" hidden="1" customHeight="1" x14ac:dyDescent="0.3">
      <c r="D47" s="165"/>
    </row>
    <row r="48" spans="1:4" ht="15" hidden="1" customHeight="1" x14ac:dyDescent="0.3">
      <c r="D48" s="165"/>
    </row>
    <row r="49" ht="16.5" hidden="1" customHeight="1" x14ac:dyDescent="0.3"/>
    <row r="50" ht="28.95" hidden="1" customHeight="1" x14ac:dyDescent="0.3"/>
  </sheetData>
  <sheetProtection algorithmName="SHA-512" hashValue="buJAAnbjmRH+XNyxI0lSIM/gCvb1S3hOa8Hk+XL2dq/iP8+YPRgPa3CYWYTI6ijQyH1SbhHsYHSoMtrDj3+svw==" saltValue="nY/NNEheWAfCFB92Vq+PMw==" spinCount="100000" sheet="1" objects="1" scenarios="1" selectLockedCells="1" selectUnlockedCells="1"/>
  <mergeCells count="1">
    <mergeCell ref="A2:D2"/>
  </mergeCells>
  <phoneticPr fontId="14" type="noConversion"/>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FBB73-C6DC-4D6B-8F2E-3B4E8C2B85EF}">
  <sheetPr codeName="Sheet5">
    <pageSetUpPr fitToPage="1"/>
  </sheetPr>
  <dimension ref="A1:BH121"/>
  <sheetViews>
    <sheetView zoomScale="85" zoomScaleNormal="85" workbookViewId="0">
      <selection activeCell="C35" sqref="C35"/>
    </sheetView>
  </sheetViews>
  <sheetFormatPr defaultColWidth="0" defaultRowHeight="14.4" zeroHeight="1" x14ac:dyDescent="0.3"/>
  <cols>
    <col min="1" max="1" width="9.109375" customWidth="1"/>
    <col min="2" max="2" width="26.5546875" customWidth="1"/>
    <col min="3" max="4" width="22.109375" customWidth="1"/>
    <col min="5" max="7" width="20.6640625" customWidth="1"/>
    <col min="8" max="8" width="17.33203125" customWidth="1"/>
    <col min="9" max="9" width="9.109375" customWidth="1"/>
    <col min="10" max="13" width="1.5546875" style="118" customWidth="1"/>
    <col min="14" max="15" width="8" hidden="1" customWidth="1"/>
    <col min="16" max="16" width="16.44140625" hidden="1" customWidth="1"/>
    <col min="17" max="18" width="8" hidden="1" customWidth="1"/>
    <col min="19" max="19" width="16.44140625" hidden="1" customWidth="1"/>
    <col min="20" max="20" width="14.88671875" hidden="1" customWidth="1"/>
    <col min="21" max="21" width="11.44140625" hidden="1" customWidth="1"/>
    <col min="22" max="22" width="8" style="3" hidden="1" customWidth="1"/>
    <col min="23" max="23" width="8" hidden="1" customWidth="1"/>
    <col min="24" max="24" width="15.88671875" hidden="1" customWidth="1"/>
    <col min="25" max="25" width="11.44140625" hidden="1" customWidth="1"/>
    <col min="26" max="16384" width="8" hidden="1"/>
  </cols>
  <sheetData>
    <row r="1" spans="1:51" ht="25.8" x14ac:dyDescent="0.5">
      <c r="A1" s="10"/>
      <c r="B1" s="17" t="str">
        <f>"Discrete WQ Sample Analysis Tool v. "&amp;dev!B2</f>
        <v>Discrete WQ Sample Analysis Tool v. 1</v>
      </c>
      <c r="C1" s="17"/>
      <c r="D1" s="10"/>
      <c r="E1" s="10"/>
      <c r="F1" s="10"/>
      <c r="G1" s="10"/>
      <c r="H1" s="10"/>
      <c r="I1" s="10"/>
      <c r="V1"/>
    </row>
    <row r="2" spans="1:51" ht="24.9" customHeight="1" x14ac:dyDescent="0.3">
      <c r="A2" s="7"/>
      <c r="B2" s="41" t="s">
        <v>85</v>
      </c>
      <c r="C2" s="41"/>
      <c r="D2" s="7"/>
      <c r="E2" s="37"/>
      <c r="F2" s="37"/>
      <c r="G2" s="7"/>
      <c r="H2" s="7"/>
      <c r="I2" s="7"/>
      <c r="V2"/>
    </row>
    <row r="3" spans="1:51" ht="15.6" x14ac:dyDescent="0.3">
      <c r="A3" s="7"/>
      <c r="C3" s="36" t="s">
        <v>86</v>
      </c>
      <c r="D3" s="33" t="s">
        <v>87</v>
      </c>
      <c r="E3" s="34" t="s">
        <v>83</v>
      </c>
      <c r="F3" s="35" t="s">
        <v>88</v>
      </c>
      <c r="G3" s="86" t="s">
        <v>89</v>
      </c>
      <c r="H3" s="10"/>
      <c r="I3" s="7"/>
      <c r="V3"/>
    </row>
    <row r="4" spans="1:51" x14ac:dyDescent="0.3">
      <c r="A4" s="7"/>
      <c r="B4" s="10"/>
      <c r="C4" s="10"/>
      <c r="D4" s="10"/>
      <c r="E4" s="10"/>
      <c r="F4" s="10"/>
      <c r="G4" s="10"/>
      <c r="H4" s="10"/>
      <c r="I4" s="7"/>
      <c r="V4"/>
    </row>
    <row r="5" spans="1:51" x14ac:dyDescent="0.3">
      <c r="A5" s="7"/>
      <c r="B5" s="10"/>
      <c r="C5" s="11" t="s">
        <v>90</v>
      </c>
      <c r="D5" s="12"/>
      <c r="E5" s="11" t="s">
        <v>17</v>
      </c>
      <c r="F5" s="12"/>
      <c r="G5" s="11" t="s">
        <v>19</v>
      </c>
      <c r="H5" s="10"/>
      <c r="I5" s="7"/>
      <c r="V5"/>
    </row>
    <row r="6" spans="1:51" x14ac:dyDescent="0.3">
      <c r="A6" s="7"/>
      <c r="B6" s="10"/>
      <c r="C6" s="112" t="s">
        <v>486</v>
      </c>
      <c r="D6" s="10"/>
      <c r="E6" s="40" t="s">
        <v>487</v>
      </c>
      <c r="F6" s="10"/>
      <c r="G6" s="40" t="s">
        <v>210</v>
      </c>
      <c r="H6" s="10"/>
      <c r="I6" s="7"/>
      <c r="V6"/>
    </row>
    <row r="7" spans="1:51" x14ac:dyDescent="0.3">
      <c r="A7" s="7"/>
      <c r="B7" s="10"/>
      <c r="C7" s="6" t="s">
        <v>22</v>
      </c>
      <c r="D7" s="12"/>
      <c r="E7" s="11" t="s">
        <v>24</v>
      </c>
      <c r="F7" s="12"/>
      <c r="G7" s="6" t="s">
        <v>26</v>
      </c>
      <c r="H7" s="10"/>
      <c r="I7" s="7"/>
      <c r="V7"/>
      <c r="AG7" s="1"/>
      <c r="AK7" s="1"/>
      <c r="AR7" s="1"/>
      <c r="AV7" s="1"/>
    </row>
    <row r="8" spans="1:51" x14ac:dyDescent="0.3">
      <c r="A8" s="7"/>
      <c r="B8" s="10"/>
      <c r="C8" s="40" t="s">
        <v>488</v>
      </c>
      <c r="D8" s="10"/>
      <c r="E8" s="116">
        <v>20</v>
      </c>
      <c r="F8" s="10"/>
      <c r="G8" s="40">
        <v>316</v>
      </c>
      <c r="H8" s="10"/>
      <c r="I8" s="7"/>
      <c r="V8"/>
    </row>
    <row r="9" spans="1:51" x14ac:dyDescent="0.3">
      <c r="A9" s="7"/>
      <c r="B9" s="10"/>
      <c r="C9" s="6" t="s">
        <v>28</v>
      </c>
      <c r="D9" s="12"/>
      <c r="E9" s="11" t="s">
        <v>30</v>
      </c>
      <c r="F9" s="12"/>
      <c r="G9" s="6" t="s">
        <v>32</v>
      </c>
      <c r="H9" s="10"/>
      <c r="I9" s="7"/>
      <c r="V9"/>
      <c r="AH9" s="20"/>
      <c r="AI9" s="3"/>
      <c r="AJ9" s="3"/>
      <c r="AN9" s="19"/>
      <c r="AS9" s="20"/>
      <c r="AT9" s="3"/>
      <c r="AU9" s="3"/>
      <c r="AY9" s="19"/>
    </row>
    <row r="10" spans="1:51" x14ac:dyDescent="0.3">
      <c r="A10" s="7"/>
      <c r="B10" s="10"/>
      <c r="C10" s="40" t="s">
        <v>489</v>
      </c>
      <c r="D10" s="12"/>
      <c r="E10" s="116">
        <v>40</v>
      </c>
      <c r="F10" s="12"/>
      <c r="G10" s="40">
        <v>0.05</v>
      </c>
      <c r="H10" s="10"/>
      <c r="I10" s="7"/>
      <c r="V10"/>
      <c r="AH10" s="20"/>
      <c r="AI10" s="3"/>
      <c r="AJ10" s="3"/>
      <c r="AN10" s="19"/>
      <c r="AS10" s="20"/>
      <c r="AT10" s="3"/>
      <c r="AU10" s="3"/>
      <c r="AY10" s="19"/>
    </row>
    <row r="11" spans="1:51" x14ac:dyDescent="0.3">
      <c r="A11" s="7"/>
      <c r="B11" s="10"/>
      <c r="C11" s="6" t="s">
        <v>34</v>
      </c>
      <c r="D11" s="12"/>
      <c r="E11" s="11" t="s">
        <v>36</v>
      </c>
      <c r="F11" s="12"/>
      <c r="G11" s="11" t="s">
        <v>38</v>
      </c>
      <c r="H11" s="10"/>
      <c r="I11" s="7"/>
      <c r="V11"/>
      <c r="AH11" s="20"/>
      <c r="AI11" s="3"/>
      <c r="AJ11" s="3"/>
      <c r="AN11" s="19"/>
      <c r="AS11" s="20"/>
      <c r="AT11" s="3"/>
      <c r="AU11" s="3"/>
      <c r="AY11" s="19"/>
    </row>
    <row r="12" spans="1:51" x14ac:dyDescent="0.3">
      <c r="A12" s="7"/>
      <c r="B12" s="10"/>
      <c r="C12" s="40" t="s">
        <v>225</v>
      </c>
      <c r="D12" s="10"/>
      <c r="E12" s="116" t="s">
        <v>219</v>
      </c>
      <c r="F12" s="10"/>
      <c r="G12" s="13" t="str">
        <f>IF(E12="Please Select…","--",IFERROR(lookup!K11,"--"))</f>
        <v>lbs.</v>
      </c>
      <c r="H12" s="10"/>
      <c r="I12" s="7"/>
      <c r="V12"/>
      <c r="AH12" s="20"/>
      <c r="AI12" s="3"/>
      <c r="AJ12" s="3"/>
      <c r="AS12" s="20"/>
      <c r="AT12" s="3"/>
      <c r="AU12" s="3"/>
    </row>
    <row r="13" spans="1:51" x14ac:dyDescent="0.3">
      <c r="A13" s="7"/>
      <c r="B13" s="10"/>
      <c r="C13" s="12" t="s">
        <v>41</v>
      </c>
      <c r="D13" s="10"/>
      <c r="E13" s="18"/>
      <c r="F13" s="10"/>
      <c r="G13" s="10"/>
      <c r="H13" s="10"/>
      <c r="I13" s="7"/>
      <c r="V13"/>
      <c r="AH13" s="20"/>
      <c r="AI13" s="3"/>
      <c r="AJ13" s="3"/>
      <c r="AS13" s="20"/>
      <c r="AT13" s="3"/>
      <c r="AU13" s="3"/>
    </row>
    <row r="14" spans="1:51" x14ac:dyDescent="0.3">
      <c r="A14" s="7"/>
      <c r="B14" s="10"/>
      <c r="C14" s="173" t="s">
        <v>490</v>
      </c>
      <c r="D14" s="174"/>
      <c r="E14" s="174"/>
      <c r="F14" s="174"/>
      <c r="G14" s="175"/>
      <c r="H14" s="10"/>
      <c r="I14" s="7"/>
      <c r="V14"/>
      <c r="AH14" s="20"/>
      <c r="AI14" s="3"/>
      <c r="AJ14" s="3"/>
      <c r="AS14" s="20"/>
      <c r="AT14" s="3"/>
      <c r="AU14" s="3"/>
    </row>
    <row r="15" spans="1:51" x14ac:dyDescent="0.3">
      <c r="A15" s="7"/>
      <c r="B15" s="10"/>
      <c r="C15" s="176"/>
      <c r="D15" s="177"/>
      <c r="E15" s="177"/>
      <c r="F15" s="177"/>
      <c r="G15" s="178"/>
      <c r="H15" s="10"/>
      <c r="I15" s="7"/>
      <c r="O15" s="103" t="s">
        <v>91</v>
      </c>
      <c r="P15" s="95"/>
      <c r="Q15" s="95"/>
      <c r="V15"/>
      <c r="AH15" s="20"/>
      <c r="AI15" s="3"/>
      <c r="AJ15" s="3"/>
      <c r="AS15" s="20"/>
      <c r="AT15" s="3"/>
      <c r="AU15" s="3"/>
    </row>
    <row r="16" spans="1:51" x14ac:dyDescent="0.3">
      <c r="A16" s="7"/>
      <c r="B16" s="10"/>
      <c r="C16" s="176"/>
      <c r="D16" s="177"/>
      <c r="E16" s="177"/>
      <c r="F16" s="177"/>
      <c r="G16" s="178"/>
      <c r="H16" s="10"/>
      <c r="I16" s="7"/>
      <c r="O16" t="s">
        <v>92</v>
      </c>
      <c r="P16">
        <f>IF(OR(AND(G6&lt;&gt;"",C12&lt;&gt;"",E12&lt;&gt;"",E12&lt;&gt;P18, E12&lt;&gt;"Yield", cnt&gt;=min_cnt,COUNT(CT_vals)=COUNT(TX_vals)), AND(G6&lt;&gt;"",C12&lt;&gt;"",E12&lt;&gt;"",E12&lt;&gt;P18, E12="Yield",E8&gt;0,E10&gt;0, cnt&gt;=min_cnt, COUNT(CT_vals)=COUNT(TX_vals))),1,0)</f>
        <v>1</v>
      </c>
      <c r="V16"/>
      <c r="AH16" s="20"/>
      <c r="AI16" s="3"/>
      <c r="AJ16" s="3"/>
      <c r="AS16" s="20"/>
      <c r="AT16" s="3"/>
      <c r="AU16" s="3"/>
    </row>
    <row r="17" spans="1:60" x14ac:dyDescent="0.3">
      <c r="A17" s="7"/>
      <c r="B17" s="10"/>
      <c r="C17" s="179"/>
      <c r="D17" s="180"/>
      <c r="E17" s="180"/>
      <c r="F17" s="180"/>
      <c r="G17" s="181"/>
      <c r="H17" s="10"/>
      <c r="I17" s="7"/>
      <c r="O17" t="s">
        <v>93</v>
      </c>
      <c r="P17">
        <v>5</v>
      </c>
      <c r="V17"/>
      <c r="AH17" s="20"/>
      <c r="AI17" s="3"/>
      <c r="AJ17" s="3"/>
      <c r="AS17" s="20"/>
      <c r="AT17" s="3"/>
      <c r="AU17" s="3"/>
    </row>
    <row r="18" spans="1:60" x14ac:dyDescent="0.3">
      <c r="A18" s="7"/>
      <c r="B18" s="10"/>
      <c r="C18" s="10"/>
      <c r="D18" s="10"/>
      <c r="E18" s="10"/>
      <c r="F18" s="10"/>
      <c r="G18" s="10"/>
      <c r="H18" s="10"/>
      <c r="I18" s="7"/>
      <c r="O18" t="s">
        <v>94</v>
      </c>
      <c r="P18" t="s">
        <v>95</v>
      </c>
      <c r="V18"/>
      <c r="AH18" s="20"/>
      <c r="AI18" s="3"/>
      <c r="AJ18" s="3"/>
      <c r="AS18" s="20"/>
      <c r="AT18" s="3"/>
      <c r="AU18" s="3"/>
    </row>
    <row r="19" spans="1:60" x14ac:dyDescent="0.3">
      <c r="A19" s="7"/>
      <c r="B19" s="7"/>
      <c r="C19" s="7"/>
      <c r="D19" s="7"/>
      <c r="E19" s="7"/>
      <c r="F19" s="7"/>
      <c r="G19" s="7"/>
      <c r="H19" s="7"/>
      <c r="I19" s="7"/>
      <c r="V19"/>
      <c r="AH19" s="20"/>
      <c r="AI19" s="3"/>
      <c r="AJ19" s="3"/>
      <c r="AS19" s="20"/>
      <c r="AT19" s="3"/>
      <c r="AU19" s="3"/>
    </row>
    <row r="20" spans="1:60" ht="24.9" customHeight="1" x14ac:dyDescent="0.3">
      <c r="A20" s="8"/>
      <c r="B20" s="42" t="s">
        <v>96</v>
      </c>
      <c r="C20" s="42"/>
      <c r="D20" s="8"/>
      <c r="E20" s="38"/>
      <c r="F20" s="38"/>
      <c r="G20" s="8"/>
      <c r="H20" s="38"/>
      <c r="I20" s="8"/>
      <c r="V20"/>
      <c r="AH20" s="20"/>
      <c r="AI20" s="3"/>
      <c r="AJ20" s="3"/>
      <c r="AS20" s="20"/>
      <c r="AT20" s="3"/>
      <c r="AU20" s="3"/>
    </row>
    <row r="21" spans="1:60" x14ac:dyDescent="0.3">
      <c r="A21" s="8"/>
      <c r="B21" s="10"/>
      <c r="C21" s="11" t="s">
        <v>46</v>
      </c>
      <c r="D21" s="11" t="s">
        <v>48</v>
      </c>
      <c r="E21" s="11" t="s">
        <v>50</v>
      </c>
      <c r="F21" s="11" t="s">
        <v>52</v>
      </c>
      <c r="G21" s="10"/>
      <c r="H21" s="10"/>
      <c r="I21" s="8"/>
      <c r="O21" s="100" t="s">
        <v>97</v>
      </c>
      <c r="P21" s="95"/>
      <c r="Q21" s="95"/>
      <c r="R21" s="95"/>
      <c r="S21" s="98"/>
      <c r="T21" s="99"/>
      <c r="U21" s="99"/>
      <c r="V21" s="99"/>
      <c r="W21" s="99"/>
      <c r="X21" s="99"/>
      <c r="Y21" s="99"/>
      <c r="AA21" s="28" t="s">
        <v>98</v>
      </c>
      <c r="AB21" s="21"/>
      <c r="AD21" s="28" t="s">
        <v>99</v>
      </c>
      <c r="AE21" s="21"/>
      <c r="AG21" s="28" t="s">
        <v>59</v>
      </c>
      <c r="AH21" s="53"/>
      <c r="AI21" s="3"/>
      <c r="AJ21" s="54" t="s">
        <v>100</v>
      </c>
      <c r="AK21" s="21"/>
      <c r="AL21" s="21"/>
      <c r="AM21" s="21"/>
      <c r="AN21" s="21"/>
      <c r="AP21" s="28" t="s">
        <v>101</v>
      </c>
      <c r="AQ21" s="21"/>
      <c r="AR21" s="21"/>
      <c r="AS21" s="53"/>
      <c r="AT21" s="55"/>
      <c r="AU21" s="3"/>
    </row>
    <row r="22" spans="1:60" x14ac:dyDescent="0.3">
      <c r="A22" s="8"/>
      <c r="B22" s="122" t="s">
        <v>102</v>
      </c>
      <c r="C22" s="169">
        <f>IF(cnt&gt;=min_cnt,AVERAGE(CT_vals),"")</f>
        <v>111.32232092982238</v>
      </c>
      <c r="D22" s="170">
        <f>IF(cnt&gt;=min_cnt,_xlfn.VAR.P(CT_vals),"")</f>
        <v>49181.480978631022</v>
      </c>
      <c r="E22" s="170">
        <f>IF(cnt&gt;=min_cnt,MEDIAN(CT_vals),"")</f>
        <v>0.43699536147021989</v>
      </c>
      <c r="F22" s="170">
        <f>IF(cnt&gt;=min_cnt,QUARTILE(CT_vals,3)-QUARTILE(CT_vals,1),"")</f>
        <v>1.3074901215188981</v>
      </c>
      <c r="G22" s="10"/>
      <c r="H22" s="10"/>
      <c r="I22" s="8"/>
      <c r="O22" s="103" t="s">
        <v>103</v>
      </c>
      <c r="P22" s="95"/>
      <c r="Q22" s="95"/>
      <c r="R22" s="95"/>
      <c r="S22" s="28" t="s">
        <v>102</v>
      </c>
      <c r="T22" s="21"/>
      <c r="U22" s="21"/>
      <c r="V22" s="21"/>
      <c r="W22" s="28" t="s">
        <v>104</v>
      </c>
      <c r="X22" s="21"/>
      <c r="Y22" s="21"/>
      <c r="AA22" s="21"/>
      <c r="AB22" s="21"/>
      <c r="AD22" s="21"/>
      <c r="AE22" s="21"/>
      <c r="AG22" s="21"/>
      <c r="AH22" s="53"/>
      <c r="AI22" s="3"/>
      <c r="AJ22" s="55"/>
      <c r="AK22" s="21"/>
      <c r="AL22" s="21"/>
      <c r="AM22" s="21"/>
      <c r="AN22" s="56"/>
      <c r="AP22" s="56"/>
      <c r="AQ22" s="21"/>
      <c r="AR22" s="21"/>
      <c r="AS22" s="53"/>
      <c r="AT22" s="55"/>
      <c r="AU22" s="3"/>
      <c r="AY22" s="19"/>
    </row>
    <row r="23" spans="1:60" x14ac:dyDescent="0.3">
      <c r="A23" s="8"/>
      <c r="B23" s="122" t="s">
        <v>104</v>
      </c>
      <c r="C23" s="169">
        <f>IF(cnt&gt;=min_cnt,AVERAGE(TX_vals),"")</f>
        <v>0.53872788162048713</v>
      </c>
      <c r="D23" s="170">
        <f>IF(cnt&gt;=min_cnt,_xlfn.VAR.P(TX_vals),"")</f>
        <v>0.68629466561351837</v>
      </c>
      <c r="E23" s="170">
        <f>IF(cnt&gt;=min_cnt,MEDIAN(TX_vals),"")</f>
        <v>0.21849768073510994</v>
      </c>
      <c r="F23" s="170">
        <f>IF(cnt&gt;=min_cnt,QUARTILE(TX_vals,3)-QUARTILE(TX_vals,1),"")</f>
        <v>0.19883288946895006</v>
      </c>
      <c r="G23" s="10"/>
      <c r="H23" s="10"/>
      <c r="I23" s="8"/>
      <c r="O23" s="19" t="s">
        <v>105</v>
      </c>
      <c r="P23" s="117">
        <f>IFERROR((SUMSQ($O$35:$O$119)-2*(VLOOKUP(cnt,B35:Q119, COLUMN(O35)-1,FALSE))^2-2*(VLOOKUP(cnt-1,B35:Q119, COLUMN(O35)-1,FALSE))^2)/(1-2*(VLOOKUP(cnt,B35:Q119, COLUMN(Q35)-1,FALSE))^2-2*(VLOOKUP(cnt-1,B35:Q119, COLUMN(Q35)-1,FALSE))^2),"")</f>
        <v>8.8796812203132979E-13</v>
      </c>
      <c r="S23" s="1" t="s">
        <v>106</v>
      </c>
      <c r="T23" s="101">
        <f>T31^2</f>
        <v>136232.22080078258</v>
      </c>
      <c r="W23" t="s">
        <v>106</v>
      </c>
      <c r="X23" s="1">
        <f>X31^2</f>
        <v>2.2429144509312566</v>
      </c>
      <c r="AA23" t="s">
        <v>107</v>
      </c>
      <c r="AB23">
        <f>SUM(AA35:AA119)</f>
        <v>28</v>
      </c>
      <c r="AD23" s="108" t="s">
        <v>108</v>
      </c>
      <c r="AE23" s="32">
        <f>IFERROR(_xlfn.F.TEST(CT_vals, TX_vals),0)</f>
        <v>1.1682966506306993E-9</v>
      </c>
      <c r="AF23" s="31"/>
      <c r="AG23" t="s">
        <v>108</v>
      </c>
      <c r="AH23" s="20" t="str" cm="1">
        <f t="array" ref="AH23">IF(C26="NOT NORMAL", "NA", _xlfn.IFS(tool!G6=INDEX(comp_tab[Comparison Type], 2),_xlfn.T.TEST(CT_vals,TX_vals,2,1), AND(tool!G6=INDEX(comp_tab[Comparison Type], 1), tool!C27="EQUAL VARIANCE"), _xlfn.T.TEST(CT_vals, TX_vals, 2,2), AND(tool!G6=INDEX(comp_tab[Comparison Type], 1), tool!C27="UNEQUAL VARIANCE"), _xlfn.T.TEST(CT_vals, TX_vals, 2,3)))</f>
        <v>NA</v>
      </c>
      <c r="AI23" s="3"/>
      <c r="AJ23" t="s">
        <v>109</v>
      </c>
      <c r="AK23">
        <f>cnt</f>
        <v>5</v>
      </c>
      <c r="AM23" s="3" t="s">
        <v>110</v>
      </c>
      <c r="AN23" s="19">
        <f>ABS(AK26-AK27)/AK29</f>
        <v>0.67419986246324204</v>
      </c>
      <c r="AP23" t="s">
        <v>111</v>
      </c>
      <c r="AQ23">
        <f>COUNT(J35:K119)-COUNT(J35:K35)</f>
        <v>8</v>
      </c>
      <c r="AS23" t="s">
        <v>112</v>
      </c>
      <c r="AT23">
        <f>SQRT(FINV(G10,1,AQ23))</f>
        <v>2.3060041352041667</v>
      </c>
      <c r="AU23" s="3"/>
      <c r="AY23" s="19"/>
    </row>
    <row r="24" spans="1:60" x14ac:dyDescent="0.3">
      <c r="A24" s="8"/>
      <c r="B24" s="11"/>
      <c r="C24" s="18"/>
      <c r="D24" s="18"/>
      <c r="E24" s="18"/>
      <c r="F24" s="18"/>
      <c r="G24" s="10"/>
      <c r="H24" s="10"/>
      <c r="I24" s="8"/>
      <c r="O24" s="113" t="s">
        <v>113</v>
      </c>
      <c r="P24" s="101">
        <f>IFERROR(EXP(0.0030302*(LN(cnt))^2-0.082676*(LN(cnt))-0.4803),"")</f>
        <v>0.54579447642897716</v>
      </c>
      <c r="S24" s="1" t="s">
        <v>114</v>
      </c>
      <c r="T24" s="101">
        <f>T27</f>
        <v>245907.40489315509</v>
      </c>
      <c r="W24" t="s">
        <v>114</v>
      </c>
      <c r="X24" s="1">
        <f>X27</f>
        <v>3.4314733280675922</v>
      </c>
      <c r="AA24" t="s">
        <v>115</v>
      </c>
      <c r="AB24">
        <f>SUM(AB35:AB119)</f>
        <v>27</v>
      </c>
      <c r="AI24" s="3"/>
      <c r="AJ24" t="s">
        <v>116</v>
      </c>
      <c r="AK24">
        <f>SUM(AM35:AM119)</f>
        <v>10</v>
      </c>
      <c r="AM24" s="3" t="s">
        <v>108</v>
      </c>
      <c r="AN24" s="19">
        <f>2*(1-_xlfn.NORM.S.DIST(AN23,TRUE))</f>
        <v>0.50018425707079439</v>
      </c>
      <c r="AP24" t="s">
        <v>117</v>
      </c>
      <c r="AQ24">
        <f>SUM(DEVSQ(CT_vals), DEVSQ(TX_vals))</f>
        <v>245910.83636648321</v>
      </c>
      <c r="AS24" s="57" t="s">
        <v>118</v>
      </c>
      <c r="AT24" s="3">
        <f>IF(cnt=0, "", AT23*SQRT(AQ25*(1/AQ26 + 1/AQ27)))</f>
        <v>255.70187779525531</v>
      </c>
      <c r="AU24" s="3"/>
      <c r="AY24" s="19"/>
    </row>
    <row r="25" spans="1:60" x14ac:dyDescent="0.3">
      <c r="A25" s="8"/>
      <c r="B25" s="122" t="s">
        <v>54</v>
      </c>
      <c r="C25" s="13">
        <f>COUNT(B35:B120)</f>
        <v>5</v>
      </c>
      <c r="D25" s="10"/>
      <c r="E25" s="123" t="s">
        <v>119</v>
      </c>
      <c r="F25" s="10"/>
      <c r="G25" s="10"/>
      <c r="H25" s="10"/>
      <c r="I25" s="8"/>
      <c r="S25" s="1" t="s">
        <v>120</v>
      </c>
      <c r="T25" s="101">
        <f>T23/T24</f>
        <v>0.5539980419051409</v>
      </c>
      <c r="W25" t="s">
        <v>120</v>
      </c>
      <c r="X25" s="1">
        <f>X23/X24</f>
        <v>0.65363015722297235</v>
      </c>
      <c r="AA25" t="s">
        <v>121</v>
      </c>
      <c r="AB25">
        <f>cnt*cnt+cnt*(cnt+1)/2-AB23</f>
        <v>12</v>
      </c>
      <c r="AH25" s="20"/>
      <c r="AI25" s="3"/>
      <c r="AJ25" t="s">
        <v>122</v>
      </c>
      <c r="AK25">
        <f>SUM(AN35:AN119)</f>
        <v>5</v>
      </c>
      <c r="AN25" s="19"/>
      <c r="AO25" s="4"/>
      <c r="AP25" t="s">
        <v>123</v>
      </c>
      <c r="AQ25">
        <f>AQ24/AQ23</f>
        <v>30738.854545810402</v>
      </c>
      <c r="AS25" s="20"/>
      <c r="AT25" s="3"/>
      <c r="AU25" s="3"/>
      <c r="AY25" s="19"/>
      <c r="AZ25" s="22"/>
      <c r="BH25" s="30"/>
    </row>
    <row r="26" spans="1:60" ht="15.6" x14ac:dyDescent="0.3">
      <c r="A26" s="8"/>
      <c r="B26" s="122" t="s">
        <v>56</v>
      </c>
      <c r="C26" s="13" t="str">
        <f>IF(calc_test&gt;0, IF(AND($T$30&gt;0.05, $X$30&gt;0.05), "NORMAL", "NOT NORMAL"),"")</f>
        <v>NOT NORMAL</v>
      </c>
      <c r="D26" s="27"/>
      <c r="E26" s="15" t="str">
        <f>IF(calc_test&gt;0,IF(AND($T$30&lt;&gt;"",$X$30&lt;&gt;""),"Control p-value = "&amp;(ROUND($T$30,2))&amp;", Treatment p-value = "&amp;(ROUND($X$30,2)),""),"")</f>
        <v>Control p-value = 0, Treatment p-value = 0.01</v>
      </c>
      <c r="F26" s="85"/>
      <c r="G26" s="16"/>
      <c r="H26" s="10"/>
      <c r="I26" s="8"/>
      <c r="S26" s="1" t="s">
        <v>124</v>
      </c>
      <c r="T26" s="101">
        <f>LN(1-T25)</f>
        <v>-0.80743193662449286</v>
      </c>
      <c r="W26" t="s">
        <v>124</v>
      </c>
      <c r="X26" s="1">
        <f>LN(1-X25)</f>
        <v>-1.0602481650414803</v>
      </c>
      <c r="AA26" t="s">
        <v>125</v>
      </c>
      <c r="AB26">
        <f>cnt*cnt+cnt*(cnt+1)/2-AB24</f>
        <v>13</v>
      </c>
      <c r="AH26" s="20"/>
      <c r="AI26" s="3"/>
      <c r="AJ26" s="3" t="s">
        <v>126</v>
      </c>
      <c r="AK26">
        <f>MIN(AK24:AK25)</f>
        <v>5</v>
      </c>
      <c r="AP26" t="s">
        <v>127</v>
      </c>
      <c r="AQ26">
        <f>COUNT(CT_vals)</f>
        <v>5</v>
      </c>
      <c r="AS26" s="20"/>
      <c r="AT26" s="3"/>
      <c r="AU26" s="3"/>
      <c r="BH26" s="30"/>
    </row>
    <row r="27" spans="1:60" ht="15.6" x14ac:dyDescent="0.3">
      <c r="A27" s="8"/>
      <c r="B27" s="122" t="s">
        <v>48</v>
      </c>
      <c r="C27" s="13" t="str">
        <f>IF(calc_test&gt;0,IF(AE23&gt;0.05, "EQUAL VARIANCE", "UNEQUAL VARIANCE"),"")</f>
        <v>UNEQUAL VARIANCE</v>
      </c>
      <c r="D27" s="27"/>
      <c r="E27" s="15" t="str">
        <f>IF(calc_test&gt;0,IF(AE23&gt;0.05, "Variances do not differ at p-value = "&amp;ROUND($AE$23, 3),"Variances differ at p-value = "&amp;ROUND($AE$23, 3)),"")</f>
        <v>Variances differ at p-value = 0</v>
      </c>
      <c r="F27" s="85"/>
      <c r="G27" s="16"/>
      <c r="H27" s="10"/>
      <c r="I27" s="8"/>
      <c r="S27" s="1" t="s">
        <v>128</v>
      </c>
      <c r="T27" s="101">
        <f>SUM(T35:T1048576)</f>
        <v>245907.40489315509</v>
      </c>
      <c r="W27" s="108" t="s">
        <v>128</v>
      </c>
      <c r="X27" s="20">
        <f>SUM(X35:X120)</f>
        <v>3.4314733280675922</v>
      </c>
      <c r="AA27" t="s">
        <v>129</v>
      </c>
      <c r="AB27">
        <f>MIN(AB25:AB26)</f>
        <v>12</v>
      </c>
      <c r="AH27" s="20"/>
      <c r="AI27" s="3"/>
      <c r="AJ27" s="3" t="s">
        <v>130</v>
      </c>
      <c r="AK27">
        <f>AK23*(AK23+1)/4</f>
        <v>7.5</v>
      </c>
      <c r="AP27" t="s">
        <v>131</v>
      </c>
      <c r="AQ27">
        <f>COUNT(TX_vals)</f>
        <v>5</v>
      </c>
      <c r="AS27" s="20"/>
      <c r="AT27" s="3"/>
      <c r="AU27" s="3"/>
    </row>
    <row r="28" spans="1:60" ht="15.6" x14ac:dyDescent="0.3">
      <c r="A28" s="8"/>
      <c r="B28" s="122" t="s">
        <v>59</v>
      </c>
      <c r="C28" s="13" t="str">
        <f>IF(calc_test&gt;0,IF(C26="NOT NORMAL", "NA", IF(AH23&gt;$G$10, "NOT SIGNIFICANT", "SIGNIFICANT")),"")</f>
        <v>NA</v>
      </c>
      <c r="D28" s="27"/>
      <c r="E28" s="82" t="str" cm="1">
        <f t="array" ref="E28">IF(calc_test&gt;0,_xlfn.IFS($C$28="SIGNIFICANT", $C$12&amp;" "&amp;E12&amp;" is different at p-value = "&amp;(ROUND(AH23, 3)), $C$28="NOT SIGNIFICANT", $C$12&amp;" "&amp;E12&amp;" is not different at p-value = "&amp;(ROUND(AH23,3)), $C$28="NA", "NA: See test result below"),"")</f>
        <v>NA: See test result below</v>
      </c>
      <c r="F28" s="83"/>
      <c r="G28" s="84"/>
      <c r="H28" s="10"/>
      <c r="I28" s="8"/>
      <c r="S28" s="97" t="s">
        <v>132</v>
      </c>
      <c r="T28" s="101">
        <f>0.0038915*(LN(cnt))^3-0.083751*(LN(cnt))^2-0.31082*(LN(cnt))-1.5861</f>
        <v>-2.2870615833765884</v>
      </c>
      <c r="V28"/>
      <c r="W28" s="19" t="s">
        <v>132</v>
      </c>
      <c r="X28" s="1">
        <f>0.0038915*(LN(cnt))^3-0.083751*(LN(cnt))^2-0.31082*(LN(cnt))-1.5861</f>
        <v>-2.2870615833765884</v>
      </c>
      <c r="AA28" t="s">
        <v>133</v>
      </c>
      <c r="AB28">
        <f>(AB27-cnt*cnt/2)/SQRT(cnt*cnt*(cnt+cnt+1)/12)</f>
        <v>-0.10444659357341871</v>
      </c>
      <c r="AH28" s="20"/>
      <c r="AI28" s="3"/>
      <c r="AJ28" s="3" t="s">
        <v>134</v>
      </c>
      <c r="AK28">
        <f>AK27*(2*AK23+1)/6</f>
        <v>13.75</v>
      </c>
      <c r="AS28" s="20"/>
      <c r="AT28" s="3"/>
      <c r="AU28" s="3"/>
    </row>
    <row r="29" spans="1:60" ht="15.6" x14ac:dyDescent="0.3">
      <c r="A29" s="8"/>
      <c r="B29" s="122" t="str">
        <f>IF(tool!G6="", "Non-Parametric", IF(G6=INDEX(comp_tab[Comparison Type],1), "Mann-Whitney U", "Wilcoxon Signed-Rank"))</f>
        <v>Wilcoxon Signed-Rank</v>
      </c>
      <c r="C29" s="13" t="str" cm="1">
        <f t="array" ref="C29">IF(calc_test&gt;0,IF($G$10="", "", _xlfn.IFS($C$26="NORMAL", "NA", $G$6= INDEX(comp_tab[Comparison Type],1), IF($AB$29&gt;$G$10, "NOT SIGNIFICANT", "SIGNIFICANT"), $G$6 = INDEX(comp_tab[Comparison Type], 2), IF(tool!$AN$24&gt;$G$10, "NOT SIGNIFICANT", "SIGNIFICANT"))),"")</f>
        <v>NOT SIGNIFICANT</v>
      </c>
      <c r="D29" s="27"/>
      <c r="E29" s="15" t="str" cm="1">
        <f t="array" ref="E29">IF(calc_test&gt;0,_xlfn.IFS(AND($C$29="SIGNIFICANT", G6=INDEX(comp_tab[Comparison Type],1)),$C$12&amp;" is different at p-value = "&amp;(ROUND(tool!$AB$29, 3)), AND($C$29="SIGNIFICANT", $G$6=INDEX(comp_tab[Comparison Type],2)),$C$12&amp;" is different at p-value = "&amp;(ROUND(tool!$AN$24, 3)), AND($C$29="NOT SIGNIFICANT", $G$6=INDEX(comp_tab[Comparison Type],1)), $C$12&amp;" is not different at p-value = "&amp;(ROUND(tool!$AB$29,3)), AND($C$29="NOT SIGNIFICANT", $G$6=INDEX(comp_tab[Comparison Type],2)), $C$12&amp;" is not different at p-value = "&amp;(ROUND(tool!$AN$24,3)), $C$29="NA", "NA: See T-Test Result", tool!$G$6="", ""),"")</f>
        <v>NH4 is not different at p-value = 0.5</v>
      </c>
      <c r="F29" s="85"/>
      <c r="G29" s="16"/>
      <c r="H29" s="10"/>
      <c r="I29" s="8"/>
      <c r="S29" s="97" t="s">
        <v>133</v>
      </c>
      <c r="T29" s="101">
        <f>(T26-T28)/P24</f>
        <v>2.7109648606798165</v>
      </c>
      <c r="V29"/>
      <c r="W29" s="19" t="s">
        <v>133</v>
      </c>
      <c r="X29" s="1">
        <f>(X26-X28)/P24</f>
        <v>2.2477571161252858</v>
      </c>
      <c r="AA29" t="s">
        <v>108</v>
      </c>
      <c r="AB29">
        <f>_xlfn.NORM.DIST(AB28,0,1,TRUE)*2</f>
        <v>0.91681494852808854</v>
      </c>
      <c r="AH29" s="20"/>
      <c r="AI29" s="3"/>
      <c r="AJ29" s="3" t="s">
        <v>135</v>
      </c>
      <c r="AK29">
        <f>SQRT(AK28)</f>
        <v>3.7080992435478315</v>
      </c>
      <c r="AS29" s="20"/>
      <c r="AT29" s="3"/>
      <c r="AU29" s="3"/>
    </row>
    <row r="30" spans="1:60" ht="15.6" x14ac:dyDescent="0.3">
      <c r="A30" s="8"/>
      <c r="B30" s="122" t="s">
        <v>63</v>
      </c>
      <c r="C30" s="23">
        <f>IF(calc_test&gt;0,AT24,"")</f>
        <v>255.70187779525531</v>
      </c>
      <c r="D30" s="27"/>
      <c r="E30" s="82" t="str">
        <f>IF(C30="", "", "Least significant difference between values is "&amp;ROUND(C30, 3))</f>
        <v>Least significant difference between values is 255.702</v>
      </c>
      <c r="F30" s="83"/>
      <c r="G30" s="84"/>
      <c r="H30" s="10"/>
      <c r="I30" s="8"/>
      <c r="S30" s="97" t="s">
        <v>108</v>
      </c>
      <c r="T30" s="1">
        <f>(1-_xlfn.NORM.S.DIST(T29,TRUE))</f>
        <v>3.3543867768112134E-3</v>
      </c>
      <c r="V30"/>
      <c r="W30" s="19" t="s">
        <v>108</v>
      </c>
      <c r="X30" s="102">
        <f>IFERROR(1-_xlfn.NORM.S.DIST(X29,TRUE),"")</f>
        <v>1.229584087657587E-2</v>
      </c>
      <c r="AH30" s="20"/>
      <c r="AI30" s="3"/>
      <c r="AJ30" s="3"/>
      <c r="AS30" s="20"/>
      <c r="AT30" s="3"/>
      <c r="AU30" s="3"/>
    </row>
    <row r="31" spans="1:60" ht="15.6" x14ac:dyDescent="0.3">
      <c r="A31" s="8"/>
      <c r="B31" s="27"/>
      <c r="C31" s="27"/>
      <c r="D31" s="27"/>
      <c r="E31" s="27"/>
      <c r="F31" s="27"/>
      <c r="G31" s="27"/>
      <c r="H31" s="27"/>
      <c r="I31" s="8"/>
      <c r="S31" s="1" t="s">
        <v>136</v>
      </c>
      <c r="T31" s="101">
        <f>SUM(U35:U135)</f>
        <v>369.09649253383941</v>
      </c>
      <c r="V31"/>
      <c r="W31" s="1" t="s">
        <v>136</v>
      </c>
      <c r="X31" s="1">
        <f>SUM(Y35:Y135)</f>
        <v>1.4976362879321723</v>
      </c>
      <c r="AH31" s="20"/>
      <c r="AI31" s="3"/>
      <c r="AJ31" s="3"/>
      <c r="AS31" s="20"/>
      <c r="AT31" s="3"/>
      <c r="AU31" s="3"/>
    </row>
    <row r="32" spans="1:60" x14ac:dyDescent="0.3">
      <c r="A32" s="8"/>
      <c r="B32" s="8"/>
      <c r="C32" s="8"/>
      <c r="D32" s="8"/>
      <c r="E32" s="8"/>
      <c r="F32" s="8"/>
      <c r="G32" s="8"/>
      <c r="H32" s="8"/>
      <c r="I32" s="8"/>
      <c r="J32" s="119" t="s">
        <v>137</v>
      </c>
      <c r="V32"/>
      <c r="AH32" s="20"/>
      <c r="AI32" s="3"/>
      <c r="AS32" s="20"/>
      <c r="AT32" s="3"/>
      <c r="AU32" s="3"/>
    </row>
    <row r="33" spans="1:46" ht="24.9" customHeight="1" x14ac:dyDescent="0.3">
      <c r="A33" s="7"/>
      <c r="B33" s="43" t="str">
        <f>"Sample Data Entry: Enter sample dates and values below (min = "&amp;min_cnt&amp;")"</f>
        <v>Sample Data Entry: Enter sample dates and values below (min = 5)</v>
      </c>
      <c r="C33" s="43"/>
      <c r="D33" s="39"/>
      <c r="E33" s="7"/>
      <c r="F33" s="7"/>
      <c r="G33" s="7"/>
      <c r="H33" s="7"/>
      <c r="I33" s="7"/>
      <c r="J33" s="118" t="s">
        <v>138</v>
      </c>
      <c r="K33" s="118">
        <f>ROW(K34)+cnt</f>
        <v>39</v>
      </c>
      <c r="V33"/>
      <c r="AH33" s="20"/>
      <c r="AR33" s="20"/>
      <c r="AS33" s="3"/>
      <c r="AT33" s="3"/>
    </row>
    <row r="34" spans="1:46" x14ac:dyDescent="0.3">
      <c r="A34" s="7"/>
      <c r="B34" s="124" t="s">
        <v>71</v>
      </c>
      <c r="C34" s="124" t="s">
        <v>73</v>
      </c>
      <c r="D34" s="125" t="str">
        <f>IF(C12="Qpeak", "Ctrl Flow (cfs)", "Ctrl Total Flow (ft3)")</f>
        <v>Ctrl Total Flow (ft3)</v>
      </c>
      <c r="E34" s="125" t="s">
        <v>139</v>
      </c>
      <c r="F34" s="125" t="str">
        <f>IF(C12="Qpeak", "Trmt Flow (cfs)", "Trmt Total Flow (ft3)")</f>
        <v>Trmt Total Flow (ft3)</v>
      </c>
      <c r="G34" s="125" t="s">
        <v>140</v>
      </c>
      <c r="H34" s="126" t="s">
        <v>83</v>
      </c>
      <c r="I34" s="7"/>
      <c r="J34" s="118" t="s">
        <v>141</v>
      </c>
      <c r="K34" s="118" t="s">
        <v>142</v>
      </c>
      <c r="L34" s="118" t="s">
        <v>143</v>
      </c>
      <c r="M34" s="118" t="s">
        <v>144</v>
      </c>
      <c r="O34" t="s">
        <v>145</v>
      </c>
      <c r="P34" t="s">
        <v>146</v>
      </c>
      <c r="Q34" s="19" t="s">
        <v>147</v>
      </c>
      <c r="S34" t="s">
        <v>148</v>
      </c>
      <c r="T34" t="s">
        <v>149</v>
      </c>
      <c r="U34" s="19" t="s">
        <v>150</v>
      </c>
      <c r="W34" t="s">
        <v>148</v>
      </c>
      <c r="X34" t="s">
        <v>149</v>
      </c>
      <c r="Y34" s="19" t="s">
        <v>150</v>
      </c>
      <c r="AA34" t="s">
        <v>151</v>
      </c>
      <c r="AB34" t="s">
        <v>152</v>
      </c>
      <c r="AG34" s="20"/>
      <c r="AJ34" t="s">
        <v>153</v>
      </c>
      <c r="AK34" t="s">
        <v>154</v>
      </c>
      <c r="AL34" t="s">
        <v>155</v>
      </c>
      <c r="AM34" t="s">
        <v>156</v>
      </c>
      <c r="AN34" t="s">
        <v>157</v>
      </c>
      <c r="AR34" s="20"/>
      <c r="AS34" s="3"/>
      <c r="AT34" s="3"/>
    </row>
    <row r="35" spans="1:46" x14ac:dyDescent="0.3">
      <c r="A35" s="7"/>
      <c r="B35" s="14">
        <f>IF(H35&lt;&gt;"",IF(ISTEXT(B34),1,B34+1),"")</f>
        <v>1</v>
      </c>
      <c r="C35" s="24">
        <v>45677</v>
      </c>
      <c r="D35" s="80">
        <v>1000</v>
      </c>
      <c r="E35" s="80">
        <v>7</v>
      </c>
      <c r="F35" s="80">
        <v>100</v>
      </c>
      <c r="G35" s="80">
        <v>7</v>
      </c>
      <c r="H35" s="13" t="str" cm="1">
        <f t="array" ref="H35">_xlfn.IFS(AND($E$12="Concentration",E35&lt;&gt;"",G35&lt;&gt;"",C35&lt;&gt;""),"X",AND(OR($E$12="Flow",$E$12="Volume"),D35&lt;&gt;"",F35&lt;&gt;"",C35&lt;&gt;""),"X",AND($E$12="Depth",$E$10&lt;&gt;"",$E$8&lt;&gt;"",D35&lt;&gt;"",F35&lt;&gt;"",C35&lt;&gt;""),"X",AND($E$12="Load",D35&lt;="",E35&lt;&gt;"",F35&lt;&gt;"",G35&lt;&gt;"",C35&lt;&gt;""),"X",AND($E$12="Yield",D35&lt;="",E35&lt;&gt;"",F35&lt;&gt;"",G35&lt;&gt;"",$E$8&lt;&gt;"",$E$10&lt;&gt;"",C35&lt;&gt;""),"X", $E$12="Please Select...", "", 1&gt;0,"")</f>
        <v>X</v>
      </c>
      <c r="I35" s="7"/>
      <c r="J35" s="120" cm="1">
        <f t="array" ref="J35">_xlfn.IFS(AND($E$12="Concentration",E35&lt;&gt;""),E35,AND(OR($E$12="Volume", $E$12="Flow"),D35&lt;&gt;""),D35,AND($E$12="Load",D35&lt;&gt;"",E35&lt;&gt;""),D35*E35*conv_fact,AND($E$12="Yield",D35&lt;&gt;"",E35&lt;&gt;"", $E$8&lt;&gt;""),D35*E35*conv_fact/$E$8,AND($E$12="Depth",D35&lt;&gt;"",$E$8&lt;&gt;""),D35*conv_fact/$E$8,OR(D35="",E35=""),"")</f>
        <v>0.43699536147021989</v>
      </c>
      <c r="K35" s="120" cm="1">
        <f t="array" ref="K35">_xlfn.IFS(AND($E$12="Concentration",G35&lt;&gt;""),G35,AND(OR($E$12="Volume", $E$12="Flow"),F35&lt;&gt;""),F35,AND($E$12="Load",F35&lt;&gt;"",G35&lt;&gt;""),F35*G35*conv_fact,AND($E$12="Yield",F35&lt;&gt;"",G35&lt;&gt;"", $E$10&lt;&gt;""),F35*G35*conv_fact/$E$10, AND($E$12="Depth",F35&lt;&gt;"",$E$10&lt;&gt;""),F35*conv_fact/$E$10,OR(F35="",G35=""),"")</f>
        <v>4.3699536147021989E-2</v>
      </c>
      <c r="L35" s="118">
        <f t="shared" ref="L35:L66" si="0">IF(J35&lt;&gt;"",J35,NA())</f>
        <v>0.43699536147021989</v>
      </c>
      <c r="M35" s="118">
        <f t="shared" ref="M35:M66" si="1">IF(K35&lt;&gt;"",K35,NA())</f>
        <v>4.3699536147021989E-2</v>
      </c>
      <c r="O35" s="3">
        <f>IF(B35&lt;&gt;"", _xlfn.NORM.S.INV((B35-0.375)/(cnt+0.25)), "")</f>
        <v>-1.179761117611861</v>
      </c>
      <c r="P35" s="3">
        <f>IF(B35&lt;&gt;"", (SUMSQ($O$35:$O$119))^(-0.5)*O35, "")</f>
        <v>-0.65160390997145479</v>
      </c>
      <c r="Q35">
        <f>IFERROR(-(VLOOKUP(cnt, $B$37:$Q$119,16,FALSE)),"")</f>
        <v>-0.66463926040335808</v>
      </c>
      <c r="S35" cm="1">
        <f t="array" ref="S35:S119">IF(CT_vals&lt;&gt;"", _xlfn._xlws.SORT(CT_vals), "")</f>
        <v>8.7399072294043977E-4</v>
      </c>
      <c r="T35" s="20">
        <f t="shared" ref="T35:T66" si="2">IF(B35&lt;&gt;"",(S35-AVERAGE(CT_sort))^2, "")</f>
        <v>12392.464548614736</v>
      </c>
      <c r="U35" s="117">
        <f>IF(B35="", "", Q35*S35)</f>
        <v>-5.8088854769453014E-4</v>
      </c>
      <c r="W35" cm="1">
        <f t="array" ref="W35:W119">IF(TX_vals&lt;&gt;"", _xlfn._xlws.SORT(TX_vals), "")</f>
        <v>3.9329582532319791E-3</v>
      </c>
      <c r="X35" s="20">
        <f t="shared" ref="X35:X66" si="3">IF(B35&lt;&gt;"",(W35-AVERAGE(TX_sort))^2, "")</f>
        <v>0.28600561005938824</v>
      </c>
      <c r="Y35" s="117">
        <f>IF(W35="", "",W35*Q35)</f>
        <v>-2.6139984646253857E-3</v>
      </c>
      <c r="AA35">
        <f t="shared" ref="AA35:AA66" si="4">IF(B35="", "", _xlfn.RANK.EQ(J35,$J$35:$K$119,1)+(COUNT($J$35:$K$119)+1-_xlfn.RANK.EQ(J35,$J$35:$K$119,1)-_xlfn.RANK.EQ(J35,$J$35:$K$119,0))/2)</f>
        <v>7</v>
      </c>
      <c r="AB35">
        <f t="shared" ref="AB35:AB66" si="5">IF(B35="", "", _xlfn.RANK.EQ(K35,$J$35:$K$119,1)+(COUNT($J$35:$K$119)+1-_xlfn.RANK.EQ(K35,$J$35:$K$119,1)-_xlfn.RANK.EQ(K35,$J$35:$K$119,0))/2)</f>
        <v>4</v>
      </c>
      <c r="AG35" s="20"/>
      <c r="AJ35">
        <f t="shared" ref="AJ35:AJ66" si="6">IF(B35="", "", J35-K35)</f>
        <v>0.3932958253231979</v>
      </c>
      <c r="AK35">
        <f>IF(OR(B35="",AJ35=0),"",ABS(AJ35))</f>
        <v>0.3932958253231979</v>
      </c>
      <c r="AL35">
        <f>IF(OR(B35="",AJ35=0),"",_xlfn.RANK.AVG(AK35,$AK$35:$AK$119,1))</f>
        <v>2</v>
      </c>
      <c r="AM35">
        <f>IF(AJ35&gt;0, AL35, "")</f>
        <v>2</v>
      </c>
      <c r="AN35" t="str">
        <f>IF(AJ35&lt;0, AL35, "")</f>
        <v/>
      </c>
      <c r="AR35" s="20"/>
      <c r="AS35" s="3"/>
      <c r="AT35" s="3"/>
    </row>
    <row r="36" spans="1:46" x14ac:dyDescent="0.3">
      <c r="A36" s="7"/>
      <c r="B36" s="14">
        <f t="shared" ref="B36:B99" si="7">IF(H36&lt;&gt;"",IF(ISTEXT(B35),1,B35+1),"")</f>
        <v>2</v>
      </c>
      <c r="C36" s="24">
        <f>C35+60</f>
        <v>45737</v>
      </c>
      <c r="D36" s="80">
        <v>1111</v>
      </c>
      <c r="E36" s="80">
        <v>8000</v>
      </c>
      <c r="F36" s="80">
        <v>500</v>
      </c>
      <c r="G36" s="80">
        <v>7</v>
      </c>
      <c r="H36" s="13" t="str" cm="1">
        <f t="array" ref="H36">_xlfn.IFS(AND($E$12="Concentration",E36&lt;&gt;"",G36&lt;&gt;"",C36&lt;&gt;""),"X",AND(OR($E$12="Flow",$E$12="Volume"),D36&lt;&gt;"",F36&lt;&gt;"",C36&lt;&gt;""),"X",AND($E$12="Depth",$E$10&lt;&gt;"",$E$8&lt;&gt;"",D36&lt;&gt;"",F36&lt;&gt;"",C36&lt;&gt;""),"X",AND($E$12="Load",D36&lt;="",E36&lt;&gt;"",F36&lt;&gt;"",G36&lt;&gt;"",C36&lt;&gt;""),"X",AND($E$12="Yield",D36&lt;="",E36&lt;&gt;"",F36&lt;&gt;"",G36&lt;&gt;"",$E$8&lt;&gt;"",$E$10&lt;&gt;"",C36&lt;&gt;""),"X",C36="","",1&gt;0,"")</f>
        <v>X</v>
      </c>
      <c r="I36" s="7"/>
      <c r="J36" s="120" cm="1">
        <f t="array" ref="J36">_xlfn.IFS(AND($E$12="Concentration",E36&lt;&gt;""),E36,AND(OR($E$12="Volume", $E$12="Flow"),D36&lt;&gt;""),D36,AND($E$12="Load",D36&lt;&gt;"",E36&lt;&gt;""),D36*E36*conv_fact,AND($E$12="Yield",D36&lt;&gt;"",E36&lt;&gt;"", $E$8&lt;&gt;""),D36*E36*conv_fact/$E$8,AND($E$12="Depth",D36&lt;&gt;"",$E$8&lt;&gt;""),D36*conv_fact/$E$8,OR(D36="",E36=""),"")</f>
        <v>554.85925324961636</v>
      </c>
      <c r="K36" s="120" cm="1">
        <f t="array" ref="K36">_xlfn.IFS(AND($E$12="Concentration",G36&lt;&gt;""),G36,AND(OR($E$12="Volume", $E$12="Flow"),F36&lt;&gt;""),F36,AND($E$12="Load",F36&lt;&gt;"",G36&lt;&gt;""),F36*G36*conv_fact,AND($E$12="Yield",F36&lt;&gt;"",G36&lt;&gt;"", $E$10&lt;&gt;""),F36*G36*conv_fact/$E$10, AND($E$12="Depth",F36&lt;&gt;"",$E$10&lt;&gt;""),F36*conv_fact/$E$10,OR(F36="",G36=""),"")</f>
        <v>0.21849768073510994</v>
      </c>
      <c r="L36" s="118">
        <f t="shared" si="0"/>
        <v>554.85925324961636</v>
      </c>
      <c r="M36" s="118">
        <f t="shared" si="1"/>
        <v>0.21849768073510994</v>
      </c>
      <c r="O36" s="3">
        <f t="shared" ref="O36:O66" si="8">IF(B36&lt;&gt;"", _xlfn.NORM.S.INV((B36-0.375)/(cnt+0.25)), "")</f>
        <v>-0.4972005706815541</v>
      </c>
      <c r="P36" s="3">
        <f t="shared" ref="P36:P99" si="9">IF(B36&lt;&gt;"", (SUMSQ($O$35:$O$119))^(-0.5)*O36, "")</f>
        <v>-0.27461308146173991</v>
      </c>
      <c r="Q36">
        <f>IFERROR(-(VLOOKUP(cnt-1, $B$37:$Q$119, 16,FALSE)),"")</f>
        <v>-0.24155418798544664</v>
      </c>
      <c r="S36">
        <v>3.4959628917617591E-3</v>
      </c>
      <c r="T36" s="20">
        <f t="shared" si="2"/>
        <v>12391.880792018139</v>
      </c>
      <c r="U36" s="117">
        <f t="shared" ref="U36:U99" si="10">IF(B36="", "", Q36*S36)</f>
        <v>-8.4446447754676565E-4</v>
      </c>
      <c r="W36">
        <v>4.3699536147021989E-2</v>
      </c>
      <c r="X36" s="20">
        <f>IF(B36&lt;&gt;"",(W36-AVERAGE(TX_sort))^2, "")</f>
        <v>0.24505306282219635</v>
      </c>
      <c r="Y36" s="117">
        <f t="shared" ref="Y36:Y99" si="11">IF(W36="", "",W36*Q36)</f>
        <v>-1.0555805969334571E-2</v>
      </c>
      <c r="AA36">
        <f t="shared" si="4"/>
        <v>10</v>
      </c>
      <c r="AB36">
        <f t="shared" si="5"/>
        <v>5</v>
      </c>
      <c r="AG36" s="20"/>
      <c r="AJ36">
        <f t="shared" si="6"/>
        <v>554.64075556888122</v>
      </c>
      <c r="AK36">
        <f>IF(OR(B36="",AJ36=0),"",ABS(AJ36))</f>
        <v>554.64075556888122</v>
      </c>
      <c r="AL36">
        <f>IF(OR(B36="",AJ36=0),"",_xlfn.RANK.AVG(AK36,$AK$35:$AK$119,1))</f>
        <v>5</v>
      </c>
      <c r="AM36">
        <f t="shared" ref="AM36:AM99" si="12">IF(AJ36&gt;0, AL36, "")</f>
        <v>5</v>
      </c>
      <c r="AN36" t="str">
        <f t="shared" ref="AN36:AN99" si="13">IF(AJ36&lt;0, AL36, "")</f>
        <v/>
      </c>
      <c r="AR36" s="20"/>
      <c r="AS36" s="3"/>
      <c r="AT36" s="3"/>
    </row>
    <row r="37" spans="1:46" x14ac:dyDescent="0.3">
      <c r="A37" s="7"/>
      <c r="B37" s="14">
        <f t="shared" si="7"/>
        <v>3</v>
      </c>
      <c r="C37" s="24">
        <f t="shared" ref="C37:C39" si="14">C36+60</f>
        <v>45797</v>
      </c>
      <c r="D37" s="80">
        <v>8</v>
      </c>
      <c r="E37" s="80">
        <v>7</v>
      </c>
      <c r="F37" s="80">
        <v>5000</v>
      </c>
      <c r="G37" s="80">
        <v>7</v>
      </c>
      <c r="H37" s="13" t="str" cm="1">
        <f t="array" ref="H37">_xlfn.IFS(AND($E$12="Concentration",E37&lt;&gt;"",G37&lt;&gt;"",C37&lt;&gt;""),"X",AND(OR($E$12="Flow",$E$12="Volume"),D37&lt;&gt;"",F37&lt;&gt;"",C37&lt;&gt;""),"X",AND($E$12="Depth",$E$10&lt;&gt;"",$E$8&lt;&gt;"",D37&lt;&gt;"",F37&lt;&gt;"",C37&lt;&gt;""),"X",AND($E$12="Load",D37&lt;="",E37&lt;&gt;"",F37&lt;&gt;"",G37&lt;&gt;"",C37&lt;&gt;""),"X",AND($E$12="Yield",D37&lt;="",E37&lt;&gt;"",F37&lt;&gt;"",G37&lt;&gt;"",$E$8&lt;&gt;"",$E$10&lt;&gt;"",C37&lt;&gt;""),"X",C37="","",1&gt;0,"")</f>
        <v>X</v>
      </c>
      <c r="I37" s="7"/>
      <c r="J37" s="120" cm="1">
        <f t="array" ref="J37">_xlfn.IFS(AND($E$12="Concentration",E37&lt;&gt;""),E37,AND(OR($E$12="Volume", $E$12="Flow"),D37&lt;&gt;""),D37,AND($E$12="Load",D37&lt;&gt;"",E37&lt;&gt;""),D37*E37*conv_fact,AND($E$12="Yield",D37&lt;&gt;"",E37&lt;&gt;"", $E$8&lt;&gt;""),D37*E37*conv_fact/$E$8,AND($E$12="Depth",D37&lt;&gt;"",$E$8&lt;&gt;""),D37*conv_fact/$E$8,OR(D37="",E37=""),"")</f>
        <v>3.4959628917617591E-3</v>
      </c>
      <c r="K37" s="120" cm="1">
        <f t="array" ref="K37">_xlfn.IFS(AND($E$12="Concentration",G37&lt;&gt;""),G37,AND(OR($E$12="Volume", $E$12="Flow"),F37&lt;&gt;""),F37,AND($E$12="Load",F37&lt;&gt;"",G37&lt;&gt;""),F37*G37*conv_fact,AND($E$12="Yield",F37&lt;&gt;"",G37&lt;&gt;"", $E$10&lt;&gt;""),F37*G37*conv_fact/$E$10, AND($E$12="Depth",F37&lt;&gt;"",$E$10&lt;&gt;""),F37*conv_fact/$E$10,OR(F37="",G37=""),"")</f>
        <v>2.1849768073510996</v>
      </c>
      <c r="L37" s="118">
        <f t="shared" si="0"/>
        <v>3.4959628917617591E-3</v>
      </c>
      <c r="M37" s="118">
        <f t="shared" si="1"/>
        <v>2.1849768073510996</v>
      </c>
      <c r="O37" s="3">
        <f t="shared" si="8"/>
        <v>0</v>
      </c>
      <c r="P37" s="3">
        <f t="shared" si="9"/>
        <v>0</v>
      </c>
      <c r="Q37">
        <f t="shared" ref="Q37:Q68" si="15">IF(B37="", "", IF(B37=cnt,P37+0.221157*(1/SQRT(cnt))-0.147981*(1/SQRT(cnt))^2-2.07119*(1/SQRT(cnt))^3+4.434685*(1/SQRT(cnt))^4-2.706056*(1/SQRT(cnt))^5, IF(B37=(cnt-1),P37+0.042981*(1/SQRT(cnt))-0.293762*(1/SQRT(cnt))^2-1.752461*(1/SQRT(cnt))^3+5.682633*(1/SQRT(cnt))^4-3.582663*(1/SQRT(cnt))^5,O37/SQRT($P$23))))</f>
        <v>0</v>
      </c>
      <c r="S37">
        <v>0.43699536147021989</v>
      </c>
      <c r="T37" s="20">
        <f t="shared" si="2"/>
        <v>12295.555426399456</v>
      </c>
      <c r="U37" s="117">
        <f t="shared" si="10"/>
        <v>0</v>
      </c>
      <c r="W37">
        <v>0.21849768073510994</v>
      </c>
      <c r="X37" s="20">
        <f>IF(B37&lt;&gt;"",(W37-AVERAGE(TX_sort))^2, "")</f>
        <v>0.10254738155908902</v>
      </c>
      <c r="Y37" s="117">
        <f t="shared" si="11"/>
        <v>0</v>
      </c>
      <c r="Z37" s="29"/>
      <c r="AA37">
        <f t="shared" si="4"/>
        <v>2</v>
      </c>
      <c r="AB37">
        <f t="shared" si="5"/>
        <v>9</v>
      </c>
      <c r="AG37" s="20"/>
      <c r="AJ37">
        <f t="shared" si="6"/>
        <v>-2.1814808444593377</v>
      </c>
      <c r="AK37">
        <f>IF(OR(B37="",AJ37=0),"",ABS(AJ37))</f>
        <v>2.1814808444593377</v>
      </c>
      <c r="AL37">
        <f>IF(OR(B37="",AJ37=0),"",_xlfn.RANK.AVG(AK37,$AK$35:$AK$119,1))</f>
        <v>4</v>
      </c>
      <c r="AM37" t="str">
        <f t="shared" si="12"/>
        <v/>
      </c>
      <c r="AN37">
        <f t="shared" si="13"/>
        <v>4</v>
      </c>
      <c r="AR37" s="20"/>
      <c r="AS37" s="3"/>
      <c r="AT37" s="3"/>
    </row>
    <row r="38" spans="1:46" x14ac:dyDescent="0.3">
      <c r="A38" s="7"/>
      <c r="B38" s="14">
        <f t="shared" si="7"/>
        <v>4</v>
      </c>
      <c r="C38" s="24">
        <f t="shared" si="14"/>
        <v>45857</v>
      </c>
      <c r="D38" s="80">
        <v>3000</v>
      </c>
      <c r="E38" s="81">
        <v>7</v>
      </c>
      <c r="F38" s="80">
        <v>9</v>
      </c>
      <c r="G38" s="81">
        <v>7</v>
      </c>
      <c r="H38" s="13" t="str" cm="1">
        <f t="array" ref="H38">_xlfn.IFS(AND($E$12="Concentration",E38&lt;&gt;"",G38&lt;&gt;"",C38&lt;&gt;""),"X",AND(OR($E$12="Flow",$E$12="Volume"),D38&lt;&gt;"",F38&lt;&gt;"",C38&lt;&gt;""),"X",AND($E$12="Depth",$E$10&lt;&gt;"",$E$8&lt;&gt;"",D38&lt;&gt;"",F38&lt;&gt;"",C38&lt;&gt;""),"X",AND($E$12="Load",D38&lt;="",E38&lt;&gt;"",F38&lt;&gt;"",G38&lt;&gt;"",C38&lt;&gt;""),"X",AND($E$12="Yield",D38&lt;="",E38&lt;&gt;"",F38&lt;&gt;"",G38&lt;&gt;"",$E$8&lt;&gt;"",$E$10&lt;&gt;"",C38&lt;&gt;""),"X",C38="","",1&gt;0,"")</f>
        <v>X</v>
      </c>
      <c r="I38" s="7"/>
      <c r="J38" s="120" cm="1">
        <f t="array" ref="J38">_xlfn.IFS(AND($E$12="Concentration",E38&lt;&gt;""),E38,AND(OR($E$12="Volume", $E$12="Flow"),D38&lt;&gt;""),D38,AND($E$12="Load",D38&lt;&gt;"",E38&lt;&gt;""),D38*E38*conv_fact,AND($E$12="Yield",D38&lt;&gt;"",E38&lt;&gt;"", $E$8&lt;&gt;""),D38*E38*conv_fact/$E$8,AND($E$12="Depth",D38&lt;&gt;"",$E$8&lt;&gt;""),D38*conv_fact/$E$8,OR(D38="",E38=""),"")</f>
        <v>1.3109860844106598</v>
      </c>
      <c r="K38" s="120" cm="1">
        <f t="array" ref="K38">_xlfn.IFS(AND($E$12="Concentration",G38&lt;&gt;""),G38,AND(OR($E$12="Volume", $E$12="Flow"),F38&lt;&gt;""),F38,AND($E$12="Load",F38&lt;&gt;"",G38&lt;&gt;""),F38*G38*conv_fact,AND($E$12="Yield",F38&lt;&gt;"",G38&lt;&gt;"", $E$10&lt;&gt;""),F38*G38*conv_fact/$E$10, AND($E$12="Depth",F38&lt;&gt;"",$E$10&lt;&gt;""),F38*conv_fact/$E$10,OR(F38="",G38=""),"")</f>
        <v>3.9329582532319791E-3</v>
      </c>
      <c r="L38" s="118">
        <f t="shared" si="0"/>
        <v>1.3109860844106598</v>
      </c>
      <c r="M38" s="118">
        <f t="shared" si="1"/>
        <v>3.9329582532319791E-3</v>
      </c>
      <c r="O38" s="3">
        <f t="shared" si="8"/>
        <v>0.4972005706815541</v>
      </c>
      <c r="P38" s="3">
        <f t="shared" si="9"/>
        <v>0.27461308146173991</v>
      </c>
      <c r="Q38">
        <f t="shared" si="15"/>
        <v>0.24155418798544664</v>
      </c>
      <c r="S38">
        <v>1.3109860844106598</v>
      </c>
      <c r="T38" s="20">
        <f t="shared" si="2"/>
        <v>12102.493794469303</v>
      </c>
      <c r="U38" s="117">
        <f t="shared" si="10"/>
        <v>0.31667417908003714</v>
      </c>
      <c r="W38">
        <v>0.24253242561597205</v>
      </c>
      <c r="X38" s="20">
        <f t="shared" si="3"/>
        <v>8.7731748157722625E-2</v>
      </c>
      <c r="Y38" s="117">
        <f t="shared" si="11"/>
        <v>5.8584723129806865E-2</v>
      </c>
      <c r="AA38">
        <f t="shared" si="4"/>
        <v>8</v>
      </c>
      <c r="AB38">
        <f t="shared" si="5"/>
        <v>3</v>
      </c>
      <c r="AG38" s="20"/>
      <c r="AJ38">
        <f t="shared" si="6"/>
        <v>1.3070531261574279</v>
      </c>
      <c r="AK38">
        <f t="shared" ref="AK38:AK99" si="16">IF(OR(B38="",AJ38=0),"",ABS(AJ38))</f>
        <v>1.3070531261574279</v>
      </c>
      <c r="AL38">
        <f t="shared" ref="AL38:AL99" si="17">IF(OR(B38="",AJ38=0),"",_xlfn.RANK.AVG(AK38,$AK$35:$AK$119,1))</f>
        <v>3</v>
      </c>
      <c r="AM38">
        <f t="shared" si="12"/>
        <v>3</v>
      </c>
      <c r="AN38" t="str">
        <f t="shared" si="13"/>
        <v/>
      </c>
      <c r="AR38" s="20"/>
      <c r="AS38" s="3"/>
      <c r="AT38" s="3"/>
    </row>
    <row r="39" spans="1:46" x14ac:dyDescent="0.3">
      <c r="A39" s="7"/>
      <c r="B39" s="14">
        <f t="shared" si="7"/>
        <v>5</v>
      </c>
      <c r="C39" s="24">
        <f t="shared" si="14"/>
        <v>45917</v>
      </c>
      <c r="D39" s="81">
        <v>2</v>
      </c>
      <c r="E39" s="81">
        <v>7</v>
      </c>
      <c r="F39" s="80">
        <v>555</v>
      </c>
      <c r="G39" s="81">
        <v>7</v>
      </c>
      <c r="H39" s="13" t="str" cm="1">
        <f t="array" ref="H39">_xlfn.IFS(AND($E$12="Concentration",E39&lt;&gt;"",G39&lt;&gt;"",C39&lt;&gt;""),"X",AND(OR($E$12="Flow",$E$12="Volume"),D39&lt;&gt;"",F39&lt;&gt;"",C39&lt;&gt;""),"X",AND($E$12="Depth",$E$10&lt;&gt;"",$E$8&lt;&gt;"",D39&lt;&gt;"",F39&lt;&gt;"",C39&lt;&gt;""),"X",AND($E$12="Load",D39&lt;="",E39&lt;&gt;"",F39&lt;&gt;"",G39&lt;&gt;"",C39&lt;&gt;""),"X",AND($E$12="Yield",D39&lt;="",E39&lt;&gt;"",F39&lt;&gt;"",G39&lt;&gt;"",$E$8&lt;&gt;"",$E$10&lt;&gt;"",C39&lt;&gt;""),"X",C39="","",1&gt;0,"")</f>
        <v>X</v>
      </c>
      <c r="I39" s="7"/>
      <c r="J39" s="120" cm="1">
        <f t="array" ref="J39">_xlfn.IFS(AND($E$12="Concentration",E39&lt;&gt;""),E39,AND(OR($E$12="Volume", $E$12="Flow"),D39&lt;&gt;""),D39,AND($E$12="Load",D39&lt;&gt;"",E39&lt;&gt;""),D39*E39*conv_fact,AND($E$12="Yield",D39&lt;&gt;"",E39&lt;&gt;"", $E$8&lt;&gt;""),D39*E39*conv_fact/$E$8,AND($E$12="Depth",D39&lt;&gt;"",$E$8&lt;&gt;""),D39*conv_fact/$E$8,OR(D39="",E39=""),"")</f>
        <v>8.7399072294043977E-4</v>
      </c>
      <c r="K39" s="120" cm="1">
        <f t="array" ref="K39">_xlfn.IFS(AND($E$12="Concentration",G39&lt;&gt;""),G39,AND(OR($E$12="Volume", $E$12="Flow"),F39&lt;&gt;""),F39,AND($E$12="Load",F39&lt;&gt;"",G39&lt;&gt;""),F39*G39*conv_fact,AND($E$12="Yield",F39&lt;&gt;"",G39&lt;&gt;"", $E$10&lt;&gt;""),F39*G39*conv_fact/$E$10, AND($E$12="Depth",F39&lt;&gt;"",$E$10&lt;&gt;""),F39*conv_fact/$E$10,OR(F39="",G39=""),"")</f>
        <v>0.24253242561597205</v>
      </c>
      <c r="L39" s="118">
        <f t="shared" si="0"/>
        <v>8.7399072294043977E-4</v>
      </c>
      <c r="M39" s="118">
        <f t="shared" si="1"/>
        <v>0.24253242561597205</v>
      </c>
      <c r="O39" s="3">
        <f t="shared" si="8"/>
        <v>1.179761117611861</v>
      </c>
      <c r="P39" s="3">
        <f t="shared" si="9"/>
        <v>0.65160390997145479</v>
      </c>
      <c r="Q39">
        <f t="shared" si="15"/>
        <v>0.66463926040335808</v>
      </c>
      <c r="S39">
        <v>554.85925324961636</v>
      </c>
      <c r="T39" s="20">
        <f t="shared" si="2"/>
        <v>196725.01033165347</v>
      </c>
      <c r="U39" s="117">
        <f t="shared" si="10"/>
        <v>368.7812437077846</v>
      </c>
      <c r="W39">
        <v>2.1849768073510996</v>
      </c>
      <c r="X39" s="20">
        <f t="shared" si="3"/>
        <v>2.7101355254691959</v>
      </c>
      <c r="Y39" s="117">
        <f t="shared" si="11"/>
        <v>1.4522213692363255</v>
      </c>
      <c r="AA39">
        <f t="shared" si="4"/>
        <v>1</v>
      </c>
      <c r="AB39">
        <f t="shared" si="5"/>
        <v>6</v>
      </c>
      <c r="AG39" s="20"/>
      <c r="AJ39">
        <f t="shared" si="6"/>
        <v>-0.2416584348930316</v>
      </c>
      <c r="AK39">
        <f t="shared" si="16"/>
        <v>0.2416584348930316</v>
      </c>
      <c r="AL39">
        <f t="shared" si="17"/>
        <v>1</v>
      </c>
      <c r="AM39" t="str">
        <f t="shared" si="12"/>
        <v/>
      </c>
      <c r="AN39">
        <f t="shared" si="13"/>
        <v>1</v>
      </c>
      <c r="AR39" s="20"/>
      <c r="AS39" s="3"/>
      <c r="AT39" s="3"/>
    </row>
    <row r="40" spans="1:46" x14ac:dyDescent="0.3">
      <c r="A40" s="7"/>
      <c r="B40" s="14" t="str">
        <f t="shared" si="7"/>
        <v/>
      </c>
      <c r="C40" s="25"/>
      <c r="D40" s="81"/>
      <c r="E40" s="81"/>
      <c r="F40" s="80"/>
      <c r="G40" s="81"/>
      <c r="H40" s="13" t="str" cm="1">
        <f t="array" ref="H40">_xlfn.IFS(AND($E$12="Concentration",E40&lt;&gt;"",G40&lt;&gt;"",C40&lt;&gt;""),"X",AND(OR($E$12="Flow",$E$12="Volume"),D40&lt;&gt;"",F40&lt;&gt;"",C40&lt;&gt;""),"X",AND($E$12="Depth",$E$10&lt;&gt;"",$E$8&lt;&gt;"",D40&lt;&gt;"",F40&lt;&gt;"",C40&lt;&gt;""),"X",AND($E$12="Load",D40&lt;="",E40&lt;&gt;"",F40&lt;&gt;"",G40&lt;&gt;"",C40&lt;&gt;""),"X",AND($E$12="Yield",D40&lt;="",E40&lt;&gt;"",F40&lt;&gt;"",G40&lt;&gt;"",$E$8&lt;&gt;"",$E$10&lt;&gt;"",C40&lt;&gt;""),"X",C40="","",1&gt;0,"")</f>
        <v/>
      </c>
      <c r="I40" s="7"/>
      <c r="J40" s="121" t="str" cm="1">
        <f t="array" ref="J40">_xlfn.IFS(AND($E$12="Concentration",E40&lt;&gt;""),E40,AND(OR($E$12="Volume", $E$12="Flow"),D40&lt;&gt;""),D40,AND($E$12="Load",D40&lt;&gt;"",E40&lt;&gt;""),D40*E40*conv_fact,AND($E$12="Yield",D40&lt;&gt;"",E40&lt;&gt;"", $E$8&lt;&gt;""),D40*E40*conv_fact/$E$8,AND($E$12="Depth",D40&lt;&gt;"",$E$8&lt;&gt;""),D40*conv_fact/$E$8,OR(D40="",E40=""),"")</f>
        <v/>
      </c>
      <c r="K40" s="121" t="str" cm="1">
        <f t="array" ref="K40">_xlfn.IFS(AND($E$12="Concentration",G40&lt;&gt;""),G40,AND(OR($E$12="Volume", $E$12="Flow"),F40&lt;&gt;""),F40,AND($E$12="Load",F40&lt;&gt;"",G40&lt;&gt;""),F40*G40*conv_fact,AND($E$12="Yield",F40&lt;&gt;"",G40&lt;&gt;"", $E$10&lt;&gt;""),F40*G40*conv_fact/$E$10, AND($E$12="Depth",F40&lt;&gt;"",$E$10&lt;&gt;""),F40*conv_fact/$E$10,OR(F40="",G40=""),"")</f>
        <v/>
      </c>
      <c r="L40" s="118" t="e">
        <f t="shared" si="0"/>
        <v>#N/A</v>
      </c>
      <c r="M40" s="118" t="e">
        <f t="shared" si="1"/>
        <v>#N/A</v>
      </c>
      <c r="O40" s="3" t="str">
        <f t="shared" si="8"/>
        <v/>
      </c>
      <c r="P40" s="3" t="str">
        <f t="shared" si="9"/>
        <v/>
      </c>
      <c r="Q40" t="str">
        <f t="shared" si="15"/>
        <v/>
      </c>
      <c r="S40" t="str">
        <v/>
      </c>
      <c r="T40" s="20" t="str">
        <f t="shared" si="2"/>
        <v/>
      </c>
      <c r="U40" t="str">
        <f t="shared" si="10"/>
        <v/>
      </c>
      <c r="W40" t="str">
        <v/>
      </c>
      <c r="X40" s="20" t="str">
        <f t="shared" si="3"/>
        <v/>
      </c>
      <c r="Y40" t="str">
        <f t="shared" si="11"/>
        <v/>
      </c>
      <c r="AA40" t="str">
        <f t="shared" si="4"/>
        <v/>
      </c>
      <c r="AB40" t="str">
        <f t="shared" si="5"/>
        <v/>
      </c>
      <c r="AG40" s="20"/>
      <c r="AJ40" t="str">
        <f t="shared" si="6"/>
        <v/>
      </c>
      <c r="AK40" t="str">
        <f t="shared" si="16"/>
        <v/>
      </c>
      <c r="AL40" t="str">
        <f t="shared" si="17"/>
        <v/>
      </c>
      <c r="AM40" t="str">
        <f t="shared" si="12"/>
        <v/>
      </c>
      <c r="AN40" t="str">
        <f t="shared" si="13"/>
        <v/>
      </c>
      <c r="AR40" s="20"/>
      <c r="AS40" s="3"/>
      <c r="AT40" s="3"/>
    </row>
    <row r="41" spans="1:46" x14ac:dyDescent="0.3">
      <c r="A41" s="7"/>
      <c r="B41" s="14" t="str">
        <f t="shared" si="7"/>
        <v/>
      </c>
      <c r="C41" s="25"/>
      <c r="D41" s="81"/>
      <c r="E41" s="81"/>
      <c r="F41" s="81"/>
      <c r="G41" s="81"/>
      <c r="H41" s="13" t="str" cm="1">
        <f t="array" ref="H41">_xlfn.IFS(AND($E$12="Concentration",E41&lt;&gt;"",G41&lt;&gt;"",C41&lt;&gt;""),"X",AND(OR($E$12="Flow",$E$12="Volume"),D41&lt;&gt;"",F41&lt;&gt;"",C41&lt;&gt;""),"X",AND($E$12="Depth",$E$10&lt;&gt;"",$E$8&lt;&gt;"",D41&lt;&gt;"",F41&lt;&gt;"",C41&lt;&gt;""),"X",AND($E$12="Load",D41&lt;="",E41&lt;&gt;"",F41&lt;&gt;"",G41&lt;&gt;"",C41&lt;&gt;""),"X",AND($E$12="Yield",D41&lt;="",E41&lt;&gt;"",F41&lt;&gt;"",G41&lt;&gt;"",$E$8&lt;&gt;"",$E$10&lt;&gt;"",C41&lt;&gt;""),"X",C41="","",1&gt;0,"")</f>
        <v/>
      </c>
      <c r="I41" s="7"/>
      <c r="J41" s="121" t="str" cm="1">
        <f t="array" ref="J41">_xlfn.IFS(AND($E$12="Concentration",E41&lt;&gt;""),E41,AND(OR($E$12="Volume", $E$12="Flow"),D41&lt;&gt;""),D41,AND($E$12="Load",D41&lt;&gt;"",E41&lt;&gt;""),D41*E41*conv_fact,AND($E$12="Yield",D41&lt;&gt;"",E41&lt;&gt;"", $E$8&lt;&gt;""),D41*E41*conv_fact/$E$8,AND($E$12="Depth",D41&lt;&gt;"",$E$8&lt;&gt;""),D41*conv_fact/$E$8,OR(D41="",E41=""),"")</f>
        <v/>
      </c>
      <c r="K41" s="121" t="str" cm="1">
        <f t="array" ref="K41">_xlfn.IFS(AND($E$12="Concentration",G41&lt;&gt;""),G41,AND(OR($E$12="Volume", $E$12="Flow"),F41&lt;&gt;""),F41,AND($E$12="Load",F41&lt;&gt;"",G41&lt;&gt;""),F41*G41*conv_fact,AND($E$12="Yield",F41&lt;&gt;"",G41&lt;&gt;"", $E$10&lt;&gt;""),F41*G41*conv_fact/$E$10, AND($E$12="Depth",F41&lt;&gt;"",$E$10&lt;&gt;""),F41*conv_fact/$E$10,OR(F41="",G41=""),"")</f>
        <v/>
      </c>
      <c r="L41" s="118" t="e">
        <f t="shared" si="0"/>
        <v>#N/A</v>
      </c>
      <c r="M41" s="118" t="e">
        <f t="shared" si="1"/>
        <v>#N/A</v>
      </c>
      <c r="O41" s="3" t="str">
        <f t="shared" si="8"/>
        <v/>
      </c>
      <c r="P41" s="3" t="str">
        <f t="shared" si="9"/>
        <v/>
      </c>
      <c r="Q41" t="str">
        <f t="shared" si="15"/>
        <v/>
      </c>
      <c r="S41" t="str">
        <v/>
      </c>
      <c r="T41" s="20" t="str">
        <f t="shared" si="2"/>
        <v/>
      </c>
      <c r="U41" t="str">
        <f t="shared" si="10"/>
        <v/>
      </c>
      <c r="W41" t="str">
        <v/>
      </c>
      <c r="X41" s="20" t="str">
        <f t="shared" si="3"/>
        <v/>
      </c>
      <c r="Y41" t="str">
        <f t="shared" si="11"/>
        <v/>
      </c>
      <c r="AA41" t="str">
        <f t="shared" si="4"/>
        <v/>
      </c>
      <c r="AB41" t="str">
        <f t="shared" si="5"/>
        <v/>
      </c>
      <c r="AG41" s="20"/>
      <c r="AJ41" t="str">
        <f t="shared" si="6"/>
        <v/>
      </c>
      <c r="AK41" t="str">
        <f t="shared" si="16"/>
        <v/>
      </c>
      <c r="AL41" t="str">
        <f t="shared" si="17"/>
        <v/>
      </c>
      <c r="AM41" t="str">
        <f t="shared" si="12"/>
        <v/>
      </c>
      <c r="AN41" t="str">
        <f t="shared" si="13"/>
        <v/>
      </c>
      <c r="AR41" s="20"/>
      <c r="AS41" s="3"/>
      <c r="AT41" s="3"/>
    </row>
    <row r="42" spans="1:46" x14ac:dyDescent="0.3">
      <c r="A42" s="7"/>
      <c r="B42" s="14" t="str">
        <f t="shared" si="7"/>
        <v/>
      </c>
      <c r="C42" s="25"/>
      <c r="D42" s="81"/>
      <c r="E42" s="81"/>
      <c r="F42" s="81"/>
      <c r="G42" s="81"/>
      <c r="H42" s="13" t="str" cm="1">
        <f t="array" ref="H42">_xlfn.IFS(AND($E$12="Concentration",E42&lt;&gt;"",G42&lt;&gt;"",C42&lt;&gt;""),"X",AND(OR($E$12="Flow",$E$12="Volume"),D42&lt;&gt;"",F42&lt;&gt;"",C42&lt;&gt;""),"X",AND($E$12="Depth",$E$10&lt;&gt;"",$E$8&lt;&gt;"",D42&lt;&gt;"",F42&lt;&gt;"",C42&lt;&gt;""),"X",AND($E$12="Load",D42&lt;="",E42&lt;&gt;"",F42&lt;&gt;"",G42&lt;&gt;"",C42&lt;&gt;""),"X",AND($E$12="Yield",D42&lt;="",E42&lt;&gt;"",F42&lt;&gt;"",G42&lt;&gt;"",$E$8&lt;&gt;"",$E$10&lt;&gt;"",C42&lt;&gt;""),"X",C42="","",1&gt;0,"")</f>
        <v/>
      </c>
      <c r="I42" s="7"/>
      <c r="J42" s="121" t="str" cm="1">
        <f t="array" ref="J42">_xlfn.IFS(AND($E$12="Concentration",E42&lt;&gt;""),E42,AND(OR($E$12="Volume", $E$12="Flow"),D42&lt;&gt;""),D42,AND($E$12="Load",D42&lt;&gt;"",E42&lt;&gt;""),D42*E42*conv_fact,AND($E$12="Yield",D42&lt;&gt;"",E42&lt;&gt;"", $E$8&lt;&gt;""),D42*E42*conv_fact/$E$8,AND($E$12="Depth",D42&lt;&gt;"",$E$8&lt;&gt;""),D42*conv_fact/$E$8,OR(D42="",E42=""),"")</f>
        <v/>
      </c>
      <c r="K42" s="121" t="str" cm="1">
        <f t="array" ref="K42">_xlfn.IFS(AND($E$12="Concentration",G42&lt;&gt;""),G42,AND(OR($E$12="Volume", $E$12="Flow"),F42&lt;&gt;""),F42,AND($E$12="Load",F42&lt;&gt;"",G42&lt;&gt;""),F42*G42*conv_fact,AND($E$12="Yield",F42&lt;&gt;"",G42&lt;&gt;"", $E$10&lt;&gt;""),F42*G42*conv_fact/$E$10, AND($E$12="Depth",F42&lt;&gt;"",$E$10&lt;&gt;""),F42*conv_fact/$E$10,OR(F42="",G42=""),"")</f>
        <v/>
      </c>
      <c r="L42" s="118" t="e">
        <f t="shared" si="0"/>
        <v>#N/A</v>
      </c>
      <c r="M42" s="118" t="e">
        <f t="shared" si="1"/>
        <v>#N/A</v>
      </c>
      <c r="O42" s="3" t="str">
        <f t="shared" si="8"/>
        <v/>
      </c>
      <c r="P42" s="3" t="str">
        <f t="shared" si="9"/>
        <v/>
      </c>
      <c r="Q42" t="str">
        <f t="shared" si="15"/>
        <v/>
      </c>
      <c r="S42" t="str">
        <v/>
      </c>
      <c r="T42" s="20" t="str">
        <f t="shared" si="2"/>
        <v/>
      </c>
      <c r="U42" t="str">
        <f t="shared" si="10"/>
        <v/>
      </c>
      <c r="W42" t="str">
        <v/>
      </c>
      <c r="X42" s="20" t="str">
        <f t="shared" si="3"/>
        <v/>
      </c>
      <c r="Y42" t="str">
        <f t="shared" si="11"/>
        <v/>
      </c>
      <c r="AA42" t="str">
        <f t="shared" si="4"/>
        <v/>
      </c>
      <c r="AB42" t="str">
        <f t="shared" si="5"/>
        <v/>
      </c>
      <c r="AG42" s="20"/>
      <c r="AJ42" t="str">
        <f t="shared" si="6"/>
        <v/>
      </c>
      <c r="AK42" t="str">
        <f t="shared" si="16"/>
        <v/>
      </c>
      <c r="AL42" t="str">
        <f t="shared" si="17"/>
        <v/>
      </c>
      <c r="AM42" t="str">
        <f t="shared" si="12"/>
        <v/>
      </c>
      <c r="AN42" t="str">
        <f t="shared" si="13"/>
        <v/>
      </c>
      <c r="AR42" s="20"/>
      <c r="AS42" s="3"/>
      <c r="AT42" s="3"/>
    </row>
    <row r="43" spans="1:46" x14ac:dyDescent="0.3">
      <c r="A43" s="7"/>
      <c r="B43" s="14" t="str">
        <f t="shared" si="7"/>
        <v/>
      </c>
      <c r="C43" s="25"/>
      <c r="D43" s="81"/>
      <c r="E43" s="81"/>
      <c r="F43" s="81"/>
      <c r="G43" s="81"/>
      <c r="H43" s="13" t="str" cm="1">
        <f t="array" ref="H43">_xlfn.IFS(AND($E$12="Concentration",E43&lt;&gt;"",G43&lt;&gt;"",C43&lt;&gt;""),"X",AND(OR($E$12="Flow",$E$12="Volume"),D43&lt;&gt;"",F43&lt;&gt;"",C43&lt;&gt;""),"X",AND($E$12="Depth",$E$10&lt;&gt;"",$E$8&lt;&gt;"",D43&lt;&gt;"",F43&lt;&gt;"",C43&lt;&gt;""),"X",AND($E$12="Load",D43&lt;="",E43&lt;&gt;"",F43&lt;&gt;"",G43&lt;&gt;"",C43&lt;&gt;""),"X",AND($E$12="Yield",D43&lt;="",E43&lt;&gt;"",F43&lt;&gt;"",G43&lt;&gt;"",$E$8&lt;&gt;"",$E$10&lt;&gt;"",C43&lt;&gt;""),"X",C43="","",1&gt;0,"")</f>
        <v/>
      </c>
      <c r="I43" s="7"/>
      <c r="J43" s="121" t="str" cm="1">
        <f t="array" ref="J43">_xlfn.IFS(AND($E$12="Concentration",E43&lt;&gt;""),E43,AND(OR($E$12="Volume", $E$12="Flow"),D43&lt;&gt;""),D43,AND($E$12="Load",D43&lt;&gt;"",E43&lt;&gt;""),D43*E43*conv_fact,AND($E$12="Yield",D43&lt;&gt;"",E43&lt;&gt;"", $E$8&lt;&gt;""),D43*E43*conv_fact/$E$8,AND($E$12="Depth",D43&lt;&gt;"",$E$8&lt;&gt;""),D43*conv_fact/$E$8,OR(D43="",E43=""),"")</f>
        <v/>
      </c>
      <c r="K43" s="121" t="str" cm="1">
        <f t="array" ref="K43">_xlfn.IFS(AND($E$12="Concentration",G43&lt;&gt;""),G43,AND(OR($E$12="Volume", $E$12="Flow"),F43&lt;&gt;""),F43,AND($E$12="Load",F43&lt;&gt;"",G43&lt;&gt;""),F43*G43*conv_fact,AND($E$12="Yield",F43&lt;&gt;"",G43&lt;&gt;"", $E$10&lt;&gt;""),F43*G43*conv_fact/$E$10, AND($E$12="Depth",F43&lt;&gt;"",$E$10&lt;&gt;""),F43*conv_fact/$E$10,OR(F43="",G43=""),"")</f>
        <v/>
      </c>
      <c r="L43" s="118" t="e">
        <f t="shared" si="0"/>
        <v>#N/A</v>
      </c>
      <c r="M43" s="118" t="e">
        <f t="shared" si="1"/>
        <v>#N/A</v>
      </c>
      <c r="O43" s="3" t="str">
        <f t="shared" si="8"/>
        <v/>
      </c>
      <c r="P43" s="3" t="str">
        <f t="shared" si="9"/>
        <v/>
      </c>
      <c r="Q43" t="str">
        <f t="shared" si="15"/>
        <v/>
      </c>
      <c r="S43" t="str">
        <v/>
      </c>
      <c r="T43" s="20" t="str">
        <f t="shared" si="2"/>
        <v/>
      </c>
      <c r="U43" t="str">
        <f t="shared" si="10"/>
        <v/>
      </c>
      <c r="W43" t="str">
        <v/>
      </c>
      <c r="X43" s="20" t="str">
        <f t="shared" si="3"/>
        <v/>
      </c>
      <c r="Y43" t="str">
        <f t="shared" si="11"/>
        <v/>
      </c>
      <c r="AA43" t="str">
        <f t="shared" si="4"/>
        <v/>
      </c>
      <c r="AB43" t="str">
        <f t="shared" si="5"/>
        <v/>
      </c>
      <c r="AG43" s="20"/>
      <c r="AJ43" t="str">
        <f t="shared" si="6"/>
        <v/>
      </c>
      <c r="AK43" t="str">
        <f t="shared" si="16"/>
        <v/>
      </c>
      <c r="AL43" t="str">
        <f t="shared" si="17"/>
        <v/>
      </c>
      <c r="AM43" t="str">
        <f t="shared" si="12"/>
        <v/>
      </c>
      <c r="AN43" t="str">
        <f t="shared" si="13"/>
        <v/>
      </c>
      <c r="AR43" s="20"/>
      <c r="AS43" s="3"/>
      <c r="AT43" s="3"/>
    </row>
    <row r="44" spans="1:46" x14ac:dyDescent="0.3">
      <c r="A44" s="7"/>
      <c r="B44" s="14" t="str">
        <f t="shared" si="7"/>
        <v/>
      </c>
      <c r="C44" s="25"/>
      <c r="D44" s="81"/>
      <c r="E44" s="81"/>
      <c r="F44" s="81"/>
      <c r="G44" s="81"/>
      <c r="H44" s="13" t="str" cm="1">
        <f t="array" ref="H44">_xlfn.IFS(AND($E$12="Concentration",E44&lt;&gt;"",G44&lt;&gt;"",C44&lt;&gt;""),"X",AND(OR($E$12="Flow",$E$12="Volume"),D44&lt;&gt;"",F44&lt;&gt;"",C44&lt;&gt;""),"X",AND($E$12="Depth",$E$10&lt;&gt;"",$E$8&lt;&gt;"",D44&lt;&gt;"",F44&lt;&gt;"",C44&lt;&gt;""),"X",AND($E$12="Load",D44&lt;="",E44&lt;&gt;"",F44&lt;&gt;"",G44&lt;&gt;"",C44&lt;&gt;""),"X",AND($E$12="Yield",D44&lt;="",E44&lt;&gt;"",F44&lt;&gt;"",G44&lt;&gt;"",$E$8&lt;&gt;"",$E$10&lt;&gt;"",C44&lt;&gt;""),"X",C44="","",1&gt;0,"")</f>
        <v/>
      </c>
      <c r="I44" s="7"/>
      <c r="J44" s="121" t="str" cm="1">
        <f t="array" ref="J44">_xlfn.IFS(AND($E$12="Concentration",E44&lt;&gt;""),E44,AND(OR($E$12="Volume", $E$12="Flow"),D44&lt;&gt;""),D44,AND($E$12="Load",D44&lt;&gt;"",E44&lt;&gt;""),D44*E44*conv_fact,AND($E$12="Yield",D44&lt;&gt;"",E44&lt;&gt;"", $E$8&lt;&gt;""),D44*E44*conv_fact/$E$8,AND($E$12="Depth",D44&lt;&gt;"",$E$8&lt;&gt;""),D44*conv_fact/$E$8,OR(D44="",E44=""),"")</f>
        <v/>
      </c>
      <c r="K44" s="121" t="str" cm="1">
        <f t="array" ref="K44">_xlfn.IFS(AND($E$12="Concentration",G44&lt;&gt;""),G44,AND(OR($E$12="Volume", $E$12="Flow"),F44&lt;&gt;""),F44,AND($E$12="Load",F44&lt;&gt;"",G44&lt;&gt;""),F44*G44*conv_fact,AND($E$12="Yield",F44&lt;&gt;"",G44&lt;&gt;"", $E$10&lt;&gt;""),F44*G44*conv_fact/$E$10, AND($E$12="Depth",F44&lt;&gt;"",$E$10&lt;&gt;""),F44*conv_fact/$E$10,OR(F44="",G44=""),"")</f>
        <v/>
      </c>
      <c r="L44" s="118" t="e">
        <f t="shared" si="0"/>
        <v>#N/A</v>
      </c>
      <c r="M44" s="118" t="e">
        <f t="shared" si="1"/>
        <v>#N/A</v>
      </c>
      <c r="O44" s="3" t="str">
        <f t="shared" si="8"/>
        <v/>
      </c>
      <c r="P44" s="3" t="str">
        <f t="shared" si="9"/>
        <v/>
      </c>
      <c r="Q44" t="str">
        <f t="shared" si="15"/>
        <v/>
      </c>
      <c r="S44" t="str">
        <v/>
      </c>
      <c r="T44" s="20" t="str">
        <f t="shared" si="2"/>
        <v/>
      </c>
      <c r="U44" t="str">
        <f t="shared" si="10"/>
        <v/>
      </c>
      <c r="W44" t="str">
        <v/>
      </c>
      <c r="X44" s="20" t="str">
        <f t="shared" si="3"/>
        <v/>
      </c>
      <c r="Y44" t="str">
        <f t="shared" si="11"/>
        <v/>
      </c>
      <c r="AA44" t="str">
        <f t="shared" si="4"/>
        <v/>
      </c>
      <c r="AB44" t="str">
        <f t="shared" si="5"/>
        <v/>
      </c>
      <c r="AG44" s="20"/>
      <c r="AJ44" t="str">
        <f t="shared" si="6"/>
        <v/>
      </c>
      <c r="AK44" t="str">
        <f t="shared" si="16"/>
        <v/>
      </c>
      <c r="AL44" t="str">
        <f t="shared" si="17"/>
        <v/>
      </c>
      <c r="AM44" t="str">
        <f t="shared" si="12"/>
        <v/>
      </c>
      <c r="AN44" t="str">
        <f t="shared" si="13"/>
        <v/>
      </c>
      <c r="AR44" s="20"/>
      <c r="AS44" s="3"/>
      <c r="AT44" s="3"/>
    </row>
    <row r="45" spans="1:46" x14ac:dyDescent="0.3">
      <c r="A45" s="7"/>
      <c r="B45" s="14" t="str">
        <f t="shared" si="7"/>
        <v/>
      </c>
      <c r="C45" s="25"/>
      <c r="D45" s="81"/>
      <c r="E45" s="81"/>
      <c r="F45" s="81"/>
      <c r="G45" s="81"/>
      <c r="H45" s="13" t="str" cm="1">
        <f t="array" ref="H45">_xlfn.IFS(AND($E$12="Concentration",E45&lt;&gt;"",G45&lt;&gt;"",C45&lt;&gt;""),"X",AND(OR($E$12="Flow",$E$12="Volume"),D45&lt;&gt;"",F45&lt;&gt;"",C45&lt;&gt;""),"X",AND($E$12="Depth",$E$10&lt;&gt;"",$E$8&lt;&gt;"",D45&lt;&gt;"",F45&lt;&gt;"",C45&lt;&gt;""),"X",AND($E$12="Load",D45&lt;="",E45&lt;&gt;"",F45&lt;&gt;"",G45&lt;&gt;"",C45&lt;&gt;""),"X",AND($E$12="Yield",D45&lt;="",E45&lt;&gt;"",F45&lt;&gt;"",G45&lt;&gt;"",$E$8&lt;&gt;"",$E$10&lt;&gt;"",C45&lt;&gt;""),"X",C45="","",1&gt;0,"")</f>
        <v/>
      </c>
      <c r="I45" s="7"/>
      <c r="J45" s="121" t="str" cm="1">
        <f t="array" ref="J45">_xlfn.IFS(AND($E$12="Concentration",E45&lt;&gt;""),E45,AND(OR($E$12="Volume", $E$12="Flow"),D45&lt;&gt;""),D45,AND($E$12="Load",D45&lt;&gt;"",E45&lt;&gt;""),D45*E45*conv_fact,AND($E$12="Yield",D45&lt;&gt;"",E45&lt;&gt;"", $E$8&lt;&gt;""),D45*E45*conv_fact/$E$8,AND($E$12="Depth",D45&lt;&gt;"",$E$8&lt;&gt;""),D45*conv_fact/$E$8,OR(D45="",E45=""),"")</f>
        <v/>
      </c>
      <c r="K45" s="121" t="str" cm="1">
        <f t="array" ref="K45">_xlfn.IFS(AND($E$12="Concentration",G45&lt;&gt;""),G45,AND(OR($E$12="Volume", $E$12="Flow"),F45&lt;&gt;""),F45,AND($E$12="Load",F45&lt;&gt;"",G45&lt;&gt;""),F45*G45*conv_fact,AND($E$12="Yield",F45&lt;&gt;"",G45&lt;&gt;"", $E$10&lt;&gt;""),F45*G45*conv_fact/$E$10, AND($E$12="Depth",F45&lt;&gt;"",$E$10&lt;&gt;""),F45*conv_fact/$E$10,OR(F45="",G45=""),"")</f>
        <v/>
      </c>
      <c r="L45" s="118" t="e">
        <f t="shared" si="0"/>
        <v>#N/A</v>
      </c>
      <c r="M45" s="118" t="e">
        <f t="shared" si="1"/>
        <v>#N/A</v>
      </c>
      <c r="O45" s="3" t="str">
        <f t="shared" si="8"/>
        <v/>
      </c>
      <c r="P45" s="3" t="str">
        <f t="shared" si="9"/>
        <v/>
      </c>
      <c r="Q45" t="str">
        <f t="shared" si="15"/>
        <v/>
      </c>
      <c r="S45" t="str">
        <v/>
      </c>
      <c r="T45" s="20" t="str">
        <f t="shared" si="2"/>
        <v/>
      </c>
      <c r="U45" t="str">
        <f t="shared" si="10"/>
        <v/>
      </c>
      <c r="W45" t="str">
        <v/>
      </c>
      <c r="X45" s="20" t="str">
        <f t="shared" si="3"/>
        <v/>
      </c>
      <c r="Y45" t="str">
        <f t="shared" si="11"/>
        <v/>
      </c>
      <c r="AA45" t="str">
        <f t="shared" si="4"/>
        <v/>
      </c>
      <c r="AB45" t="str">
        <f t="shared" si="5"/>
        <v/>
      </c>
      <c r="AG45" s="20"/>
      <c r="AJ45" t="str">
        <f t="shared" si="6"/>
        <v/>
      </c>
      <c r="AK45" t="str">
        <f t="shared" si="16"/>
        <v/>
      </c>
      <c r="AL45" t="str">
        <f t="shared" si="17"/>
        <v/>
      </c>
      <c r="AM45" t="str">
        <f t="shared" si="12"/>
        <v/>
      </c>
      <c r="AN45" t="str">
        <f t="shared" si="13"/>
        <v/>
      </c>
      <c r="AR45" s="20"/>
      <c r="AS45" s="3"/>
      <c r="AT45" s="3"/>
    </row>
    <row r="46" spans="1:46" x14ac:dyDescent="0.3">
      <c r="A46" s="7"/>
      <c r="B46" s="14" t="str">
        <f t="shared" si="7"/>
        <v/>
      </c>
      <c r="C46" s="25"/>
      <c r="D46" s="81"/>
      <c r="E46" s="81"/>
      <c r="F46" s="81"/>
      <c r="G46" s="81"/>
      <c r="H46" s="13" t="str" cm="1">
        <f t="array" ref="H46">_xlfn.IFS(AND($E$12="Concentration",E46&lt;&gt;"",G46&lt;&gt;"",C46&lt;&gt;""),"X",AND(OR($E$12="Flow",$E$12="Volume"),D46&lt;&gt;"",F46&lt;&gt;"",C46&lt;&gt;""),"X",AND($E$12="Depth",$E$10&lt;&gt;"",$E$8&lt;&gt;"",D46&lt;&gt;"",F46&lt;&gt;"",C46&lt;&gt;""),"X",AND($E$12="Load",D46&lt;="",E46&lt;&gt;"",F46&lt;&gt;"",G46&lt;&gt;"",C46&lt;&gt;""),"X",AND($E$12="Yield",D46&lt;="",E46&lt;&gt;"",F46&lt;&gt;"",G46&lt;&gt;"",$E$8&lt;&gt;"",$E$10&lt;&gt;"",C46&lt;&gt;""),"X",C46="","",1&gt;0,"")</f>
        <v/>
      </c>
      <c r="I46" s="7"/>
      <c r="J46" s="121" t="str" cm="1">
        <f t="array" ref="J46">_xlfn.IFS(AND($E$12="Concentration",E46&lt;&gt;""),E46,AND(OR($E$12="Volume", $E$12="Flow"),D46&lt;&gt;""),D46,AND($E$12="Load",D46&lt;&gt;"",E46&lt;&gt;""),D46*E46*conv_fact,AND($E$12="Yield",D46&lt;&gt;"",E46&lt;&gt;"", $E$8&lt;&gt;""),D46*E46*conv_fact/$E$8,AND($E$12="Depth",D46&lt;&gt;"",$E$8&lt;&gt;""),D46*conv_fact/$E$8,OR(D46="",E46=""),"")</f>
        <v/>
      </c>
      <c r="K46" s="121" t="str" cm="1">
        <f t="array" ref="K46">_xlfn.IFS(AND($E$12="Concentration",G46&lt;&gt;""),G46,AND(OR($E$12="Volume", $E$12="Flow"),F46&lt;&gt;""),F46,AND($E$12="Load",F46&lt;&gt;"",G46&lt;&gt;""),F46*G46*conv_fact,AND($E$12="Yield",F46&lt;&gt;"",G46&lt;&gt;"", $E$10&lt;&gt;""),F46*G46*conv_fact/$E$10, AND($E$12="Depth",F46&lt;&gt;"",$E$10&lt;&gt;""),F46*conv_fact/$E$10,OR(F46="",G46=""),"")</f>
        <v/>
      </c>
      <c r="L46" s="118" t="e">
        <f t="shared" si="0"/>
        <v>#N/A</v>
      </c>
      <c r="M46" s="118" t="e">
        <f t="shared" si="1"/>
        <v>#N/A</v>
      </c>
      <c r="O46" s="3" t="str">
        <f t="shared" si="8"/>
        <v/>
      </c>
      <c r="P46" s="3" t="str">
        <f t="shared" si="9"/>
        <v/>
      </c>
      <c r="Q46" t="str">
        <f t="shared" si="15"/>
        <v/>
      </c>
      <c r="S46" t="str">
        <v/>
      </c>
      <c r="T46" s="20" t="str">
        <f t="shared" si="2"/>
        <v/>
      </c>
      <c r="U46" t="str">
        <f t="shared" si="10"/>
        <v/>
      </c>
      <c r="V46" s="3" t="str">
        <f t="shared" ref="V46:V72" si="18">IF(B46&lt;&gt;"", (SUMSQ($U$41:$U$119))^(-0.5)*U46, "")</f>
        <v/>
      </c>
      <c r="W46" t="str">
        <v/>
      </c>
      <c r="X46" s="20" t="str">
        <f t="shared" si="3"/>
        <v/>
      </c>
      <c r="Y46" t="str">
        <f t="shared" si="11"/>
        <v/>
      </c>
      <c r="AA46" t="str">
        <f t="shared" si="4"/>
        <v/>
      </c>
      <c r="AB46" t="str">
        <f t="shared" si="5"/>
        <v/>
      </c>
      <c r="AG46" s="20"/>
      <c r="AJ46" t="str">
        <f t="shared" si="6"/>
        <v/>
      </c>
      <c r="AK46" t="str">
        <f t="shared" si="16"/>
        <v/>
      </c>
      <c r="AL46" t="str">
        <f t="shared" si="17"/>
        <v/>
      </c>
      <c r="AM46" t="str">
        <f t="shared" si="12"/>
        <v/>
      </c>
      <c r="AN46" t="str">
        <f t="shared" si="13"/>
        <v/>
      </c>
      <c r="AR46" s="20"/>
      <c r="AS46" s="3"/>
      <c r="AT46" s="3"/>
    </row>
    <row r="47" spans="1:46" x14ac:dyDescent="0.3">
      <c r="A47" s="7"/>
      <c r="B47" s="14" t="str">
        <f t="shared" si="7"/>
        <v/>
      </c>
      <c r="C47" s="25"/>
      <c r="D47" s="81"/>
      <c r="E47" s="81"/>
      <c r="F47" s="81"/>
      <c r="G47" s="81"/>
      <c r="H47" s="13" t="str" cm="1">
        <f t="array" ref="H47">_xlfn.IFS(AND($E$12="Concentration",E47&lt;&gt;"",G47&lt;&gt;"",C47&lt;&gt;""),"X",AND(OR($E$12="Flow",$E$12="Volume"),D47&lt;&gt;"",F47&lt;&gt;"",C47&lt;&gt;""),"X",AND($E$12="Depth",$E$10&lt;&gt;"",$E$8&lt;&gt;"",D47&lt;&gt;"",F47&lt;&gt;"",C47&lt;&gt;""),"X",AND($E$12="Load",D47&lt;="",E47&lt;&gt;"",F47&lt;&gt;"",G47&lt;&gt;"",C47&lt;&gt;""),"X",AND($E$12="Yield",D47&lt;="",E47&lt;&gt;"",F47&lt;&gt;"",G47&lt;&gt;"",$E$8&lt;&gt;"",$E$10&lt;&gt;"",C47&lt;&gt;""),"X",C47="","",1&gt;0,"")</f>
        <v/>
      </c>
      <c r="I47" s="7"/>
      <c r="J47" s="121" t="str" cm="1">
        <f t="array" ref="J47">_xlfn.IFS(AND($E$12="Concentration",E47&lt;&gt;""),E47,AND(OR($E$12="Volume", $E$12="Flow"),D47&lt;&gt;""),D47,AND($E$12="Load",D47&lt;&gt;"",E47&lt;&gt;""),D47*E47*conv_fact,AND($E$12="Yield",D47&lt;&gt;"",E47&lt;&gt;"", $E$8&lt;&gt;""),D47*E47*conv_fact/$E$8,AND($E$12="Depth",D47&lt;&gt;"",$E$8&lt;&gt;""),D47*conv_fact/$E$8,OR(D47="",E47=""),"")</f>
        <v/>
      </c>
      <c r="K47" s="121" t="str" cm="1">
        <f t="array" ref="K47">_xlfn.IFS(AND($E$12="Concentration",G47&lt;&gt;""),G47,AND(OR($E$12="Volume", $E$12="Flow"),F47&lt;&gt;""),F47,AND($E$12="Load",F47&lt;&gt;"",G47&lt;&gt;""),F47*G47*conv_fact,AND($E$12="Yield",F47&lt;&gt;"",G47&lt;&gt;"", $E$10&lt;&gt;""),F47*G47*conv_fact/$E$10, AND($E$12="Depth",F47&lt;&gt;"",$E$10&lt;&gt;""),F47*conv_fact/$E$10,OR(F47="",G47=""),"")</f>
        <v/>
      </c>
      <c r="L47" s="118" t="e">
        <f t="shared" si="0"/>
        <v>#N/A</v>
      </c>
      <c r="M47" s="118" t="e">
        <f t="shared" si="1"/>
        <v>#N/A</v>
      </c>
      <c r="O47" s="3" t="str">
        <f t="shared" si="8"/>
        <v/>
      </c>
      <c r="P47" s="3" t="str">
        <f t="shared" si="9"/>
        <v/>
      </c>
      <c r="Q47" t="str">
        <f t="shared" si="15"/>
        <v/>
      </c>
      <c r="S47" t="str">
        <v/>
      </c>
      <c r="T47" s="20" t="str">
        <f t="shared" si="2"/>
        <v/>
      </c>
      <c r="U47" t="str">
        <f t="shared" si="10"/>
        <v/>
      </c>
      <c r="V47" s="3" t="str">
        <f t="shared" si="18"/>
        <v/>
      </c>
      <c r="W47" t="str">
        <v/>
      </c>
      <c r="X47" s="20" t="str">
        <f t="shared" si="3"/>
        <v/>
      </c>
      <c r="Y47" t="str">
        <f t="shared" si="11"/>
        <v/>
      </c>
      <c r="AA47" t="str">
        <f t="shared" si="4"/>
        <v/>
      </c>
      <c r="AB47" t="str">
        <f t="shared" si="5"/>
        <v/>
      </c>
      <c r="AG47" s="20"/>
      <c r="AJ47" t="str">
        <f t="shared" si="6"/>
        <v/>
      </c>
      <c r="AK47" t="str">
        <f t="shared" si="16"/>
        <v/>
      </c>
      <c r="AL47" t="str">
        <f t="shared" si="17"/>
        <v/>
      </c>
      <c r="AM47" t="str">
        <f t="shared" si="12"/>
        <v/>
      </c>
      <c r="AN47" t="str">
        <f t="shared" si="13"/>
        <v/>
      </c>
      <c r="AR47" s="20"/>
      <c r="AS47" s="3"/>
      <c r="AT47" s="3"/>
    </row>
    <row r="48" spans="1:46" x14ac:dyDescent="0.3">
      <c r="A48" s="7"/>
      <c r="B48" s="14" t="str">
        <f t="shared" si="7"/>
        <v/>
      </c>
      <c r="C48" s="25"/>
      <c r="D48" s="81"/>
      <c r="E48" s="81"/>
      <c r="F48" s="81"/>
      <c r="G48" s="81"/>
      <c r="H48" s="13" t="str" cm="1">
        <f t="array" ref="H48">_xlfn.IFS(AND($E$12="Concentration",E48&lt;&gt;"",G48&lt;&gt;"",C48&lt;&gt;""),"X",AND(OR($E$12="Flow",$E$12="Volume"),D48&lt;&gt;"",F48&lt;&gt;"",C48&lt;&gt;""),"X",AND($E$12="Depth",$E$10&lt;&gt;"",$E$8&lt;&gt;"",D48&lt;&gt;"",F48&lt;&gt;"",C48&lt;&gt;""),"X",AND($E$12="Load",D48&lt;="",E48&lt;&gt;"",F48&lt;&gt;"",G48&lt;&gt;"",C48&lt;&gt;""),"X",AND($E$12="Yield",D48&lt;="",E48&lt;&gt;"",F48&lt;&gt;"",G48&lt;&gt;"",$E$8&lt;&gt;"",$E$10&lt;&gt;"",C48&lt;&gt;""),"X",C48="","",1&gt;0,"")</f>
        <v/>
      </c>
      <c r="I48" s="7"/>
      <c r="J48" s="121" t="str" cm="1">
        <f t="array" ref="J48">_xlfn.IFS(AND($E$12="Concentration",E48&lt;&gt;""),E48,AND(OR($E$12="Volume", $E$12="Flow"),D48&lt;&gt;""),D48,AND($E$12="Load",D48&lt;&gt;"",E48&lt;&gt;""),D48*E48*conv_fact,AND($E$12="Yield",D48&lt;&gt;"",E48&lt;&gt;"", $E$8&lt;&gt;""),D48*E48*conv_fact/$E$8,AND($E$12="Depth",D48&lt;&gt;"",$E$8&lt;&gt;""),D48*conv_fact/$E$8,OR(D48="",E48=""),"")</f>
        <v/>
      </c>
      <c r="K48" s="121" t="str" cm="1">
        <f t="array" ref="K48">_xlfn.IFS(AND($E$12="Concentration",G48&lt;&gt;""),G48,AND(OR($E$12="Volume", $E$12="Flow"),F48&lt;&gt;""),F48,AND($E$12="Load",F48&lt;&gt;"",G48&lt;&gt;""),F48*G48*conv_fact,AND($E$12="Yield",F48&lt;&gt;"",G48&lt;&gt;"", $E$10&lt;&gt;""),F48*G48*conv_fact/$E$10, AND($E$12="Depth",F48&lt;&gt;"",$E$10&lt;&gt;""),F48*conv_fact/$E$10,OR(F48="",G48=""),"")</f>
        <v/>
      </c>
      <c r="L48" s="118" t="e">
        <f t="shared" si="0"/>
        <v>#N/A</v>
      </c>
      <c r="M48" s="118" t="e">
        <f t="shared" si="1"/>
        <v>#N/A</v>
      </c>
      <c r="O48" s="3" t="str">
        <f t="shared" si="8"/>
        <v/>
      </c>
      <c r="P48" s="3" t="str">
        <f t="shared" si="9"/>
        <v/>
      </c>
      <c r="Q48" t="str">
        <f t="shared" si="15"/>
        <v/>
      </c>
      <c r="S48" t="str">
        <v/>
      </c>
      <c r="T48" s="20" t="str">
        <f t="shared" si="2"/>
        <v/>
      </c>
      <c r="U48" t="str">
        <f t="shared" si="10"/>
        <v/>
      </c>
      <c r="V48" s="3" t="str">
        <f t="shared" si="18"/>
        <v/>
      </c>
      <c r="W48" t="str">
        <v/>
      </c>
      <c r="X48" s="20" t="str">
        <f t="shared" si="3"/>
        <v/>
      </c>
      <c r="Y48" t="str">
        <f t="shared" si="11"/>
        <v/>
      </c>
      <c r="AA48" t="str">
        <f t="shared" si="4"/>
        <v/>
      </c>
      <c r="AB48" t="str">
        <f t="shared" si="5"/>
        <v/>
      </c>
      <c r="AG48" s="20"/>
      <c r="AJ48" t="str">
        <f t="shared" si="6"/>
        <v/>
      </c>
      <c r="AK48" t="str">
        <f t="shared" si="16"/>
        <v/>
      </c>
      <c r="AL48" t="str">
        <f t="shared" si="17"/>
        <v/>
      </c>
      <c r="AM48" t="str">
        <f t="shared" si="12"/>
        <v/>
      </c>
      <c r="AN48" t="str">
        <f t="shared" si="13"/>
        <v/>
      </c>
      <c r="AR48" s="20"/>
      <c r="AS48" s="3"/>
      <c r="AT48" s="3"/>
    </row>
    <row r="49" spans="1:46" x14ac:dyDescent="0.3">
      <c r="A49" s="7"/>
      <c r="B49" s="14" t="str">
        <f t="shared" si="7"/>
        <v/>
      </c>
      <c r="C49" s="25"/>
      <c r="D49" s="81"/>
      <c r="E49" s="81"/>
      <c r="F49" s="81"/>
      <c r="G49" s="81"/>
      <c r="H49" s="13" t="str" cm="1">
        <f t="array" ref="H49">_xlfn.IFS(AND($E$12="Concentration",E49&lt;&gt;"",G49&lt;&gt;"",C49&lt;&gt;""),"X",AND(OR($E$12="Flow",$E$12="Volume"),D49&lt;&gt;"",F49&lt;&gt;"",C49&lt;&gt;""),"X",AND($E$12="Depth",$E$10&lt;&gt;"",$E$8&lt;&gt;"",D49&lt;&gt;"",F49&lt;&gt;"",C49&lt;&gt;""),"X",AND($E$12="Load",D49&lt;="",E49&lt;&gt;"",F49&lt;&gt;"",G49&lt;&gt;"",C49&lt;&gt;""),"X",AND($E$12="Yield",D49&lt;="",E49&lt;&gt;"",F49&lt;&gt;"",G49&lt;&gt;"",$E$8&lt;&gt;"",$E$10&lt;&gt;"",C49&lt;&gt;""),"X",C49="","",1&gt;0,"")</f>
        <v/>
      </c>
      <c r="I49" s="7"/>
      <c r="J49" s="121" t="str" cm="1">
        <f t="array" ref="J49">_xlfn.IFS(AND($E$12="Concentration",E49&lt;&gt;""),E49,AND(OR($E$12="Volume", $E$12="Flow"),D49&lt;&gt;""),D49,AND($E$12="Load",D49&lt;&gt;"",E49&lt;&gt;""),D49*E49*conv_fact,AND($E$12="Yield",D49&lt;&gt;"",E49&lt;&gt;"", $E$8&lt;&gt;""),D49*E49*conv_fact/$E$8,AND($E$12="Depth",D49&lt;&gt;"",$E$8&lt;&gt;""),D49*conv_fact/$E$8,OR(D49="",E49=""),"")</f>
        <v/>
      </c>
      <c r="K49" s="121" t="str" cm="1">
        <f t="array" ref="K49">_xlfn.IFS(AND($E$12="Concentration",G49&lt;&gt;""),G49,AND(OR($E$12="Volume", $E$12="Flow"),F49&lt;&gt;""),F49,AND($E$12="Load",F49&lt;&gt;"",G49&lt;&gt;""),F49*G49*conv_fact,AND($E$12="Yield",F49&lt;&gt;"",G49&lt;&gt;"", $E$10&lt;&gt;""),F49*G49*conv_fact/$E$10, AND($E$12="Depth",F49&lt;&gt;"",$E$10&lt;&gt;""),F49*conv_fact/$E$10,OR(F49="",G49=""),"")</f>
        <v/>
      </c>
      <c r="L49" s="118" t="e">
        <f t="shared" si="0"/>
        <v>#N/A</v>
      </c>
      <c r="M49" s="118" t="e">
        <f t="shared" si="1"/>
        <v>#N/A</v>
      </c>
      <c r="O49" s="3" t="str">
        <f t="shared" si="8"/>
        <v/>
      </c>
      <c r="P49" s="3" t="str">
        <f t="shared" si="9"/>
        <v/>
      </c>
      <c r="Q49" t="str">
        <f t="shared" si="15"/>
        <v/>
      </c>
      <c r="S49" t="str">
        <v/>
      </c>
      <c r="T49" s="20" t="str">
        <f t="shared" si="2"/>
        <v/>
      </c>
      <c r="U49" t="str">
        <f t="shared" si="10"/>
        <v/>
      </c>
      <c r="V49" s="3" t="str">
        <f t="shared" si="18"/>
        <v/>
      </c>
      <c r="W49" t="str">
        <v/>
      </c>
      <c r="X49" s="20" t="str">
        <f t="shared" si="3"/>
        <v/>
      </c>
      <c r="Y49" t="str">
        <f t="shared" si="11"/>
        <v/>
      </c>
      <c r="AA49" t="str">
        <f t="shared" si="4"/>
        <v/>
      </c>
      <c r="AB49" t="str">
        <f t="shared" si="5"/>
        <v/>
      </c>
      <c r="AF49" s="20"/>
      <c r="AJ49" t="str">
        <f t="shared" si="6"/>
        <v/>
      </c>
      <c r="AK49" t="str">
        <f t="shared" si="16"/>
        <v/>
      </c>
      <c r="AL49" t="str">
        <f t="shared" si="17"/>
        <v/>
      </c>
      <c r="AM49" t="str">
        <f t="shared" si="12"/>
        <v/>
      </c>
      <c r="AN49" t="str">
        <f t="shared" si="13"/>
        <v/>
      </c>
      <c r="AQ49" s="20" t="str">
        <f t="shared" ref="AQ49:AQ80" si="19">IF(AP49&lt;&gt;"",(AP49-AVERAGE($AR$9:$AR$119))^2, "")</f>
        <v/>
      </c>
      <c r="AR49" s="3" t="str">
        <f t="shared" ref="AR49:AR80" si="20">IF(AO49&lt;&gt;"", _xlfn.NORM.S.INV((AO49-0.375)/($AR$6+0.25)), "")</f>
        <v/>
      </c>
      <c r="AS49" s="3" t="str">
        <f t="shared" ref="AS49:AS80" si="21">IF(AO49&lt;&gt;"", (SUMSQ($AT$9:$AT$119))^(-0.5)*AR49, "")</f>
        <v/>
      </c>
      <c r="AT49" t="str">
        <f t="shared" ref="AT49:AT80" si="22">IF(AO49="", "", IF(AO49=$AR$6,AS49+0.221157*(1/SQRT($AR$6))-0.147981*(1/SQRT($AR$6))^2-2.07119*(1/SQRT($AR$6))^3+4.434685*(1/SQRT($AR$6))^4-2.706056*(1/SQRT($AR$6))^5, IF(AO49=($AR$6-1),AS49+0.042981*(1/SQRT($AR$6))-0.293762*(1/SQRT($AR$6))^2-1.752461*(1/SQRT($AR$6))^3+5.682633*(1/SQRT($AR$6))^4-3.582663*(1/SQRT($AR$6))^5,AR49/SQRT($AZ$9))))</f>
        <v/>
      </c>
    </row>
    <row r="50" spans="1:46" x14ac:dyDescent="0.3">
      <c r="A50" s="7"/>
      <c r="B50" s="14" t="str">
        <f t="shared" si="7"/>
        <v/>
      </c>
      <c r="C50" s="25"/>
      <c r="D50" s="81"/>
      <c r="E50" s="81"/>
      <c r="F50" s="81"/>
      <c r="G50" s="81"/>
      <c r="H50" s="13" t="str" cm="1">
        <f t="array" ref="H50">_xlfn.IFS(AND($E$12="Concentration",E50&lt;&gt;"",G50&lt;&gt;"",C50&lt;&gt;""),"X",AND(OR($E$12="Flow",$E$12="Volume"),D50&lt;&gt;"",F50&lt;&gt;"",C50&lt;&gt;""),"X",AND($E$12="Depth",$E$10&lt;&gt;"",$E$8&lt;&gt;"",D50&lt;&gt;"",F50&lt;&gt;"",C50&lt;&gt;""),"X",AND($E$12="Load",D50&lt;="",E50&lt;&gt;"",F50&lt;&gt;"",G50&lt;&gt;"",C50&lt;&gt;""),"X",AND($E$12="Yield",D50&lt;="",E50&lt;&gt;"",F50&lt;&gt;"",G50&lt;&gt;"",$E$8&lt;&gt;"",$E$10&lt;&gt;"",C50&lt;&gt;""),"X",C50="","",1&gt;0,"")</f>
        <v/>
      </c>
      <c r="I50" s="7"/>
      <c r="J50" s="121" t="str" cm="1">
        <f t="array" ref="J50">_xlfn.IFS(AND($E$12="Concentration",E50&lt;&gt;""),E50,AND(OR($E$12="Volume", $E$12="Flow"),D50&lt;&gt;""),D50,AND($E$12="Load",D50&lt;&gt;"",E50&lt;&gt;""),D50*E50*conv_fact,AND($E$12="Yield",D50&lt;&gt;"",E50&lt;&gt;"", $E$8&lt;&gt;""),D50*E50*conv_fact/$E$8,AND($E$12="Depth",D50&lt;&gt;"",$E$8&lt;&gt;""),D50*conv_fact/$E$8,OR(D50="",E50=""),"")</f>
        <v/>
      </c>
      <c r="K50" s="121" t="str" cm="1">
        <f t="array" ref="K50">_xlfn.IFS(AND($E$12="Concentration",G50&lt;&gt;""),G50,AND(OR($E$12="Volume", $E$12="Flow"),F50&lt;&gt;""),F50,AND($E$12="Load",F50&lt;&gt;"",G50&lt;&gt;""),F50*G50*conv_fact,AND($E$12="Yield",F50&lt;&gt;"",G50&lt;&gt;"", $E$10&lt;&gt;""),F50*G50*conv_fact/$E$10, AND($E$12="Depth",F50&lt;&gt;"",$E$10&lt;&gt;""),F50*conv_fact/$E$10,OR(F50="",G50=""),"")</f>
        <v/>
      </c>
      <c r="L50" s="118" t="e">
        <f t="shared" si="0"/>
        <v>#N/A</v>
      </c>
      <c r="M50" s="118" t="e">
        <f t="shared" si="1"/>
        <v>#N/A</v>
      </c>
      <c r="O50" s="3" t="str">
        <f t="shared" si="8"/>
        <v/>
      </c>
      <c r="P50" s="3" t="str">
        <f t="shared" si="9"/>
        <v/>
      </c>
      <c r="Q50" t="str">
        <f t="shared" si="15"/>
        <v/>
      </c>
      <c r="S50" s="20" t="str">
        <v/>
      </c>
      <c r="T50" s="20" t="str">
        <f t="shared" si="2"/>
        <v/>
      </c>
      <c r="U50" t="str">
        <f t="shared" si="10"/>
        <v/>
      </c>
      <c r="V50" s="3" t="str">
        <f t="shared" si="18"/>
        <v/>
      </c>
      <c r="W50" s="20" t="str">
        <v/>
      </c>
      <c r="X50" s="20" t="str">
        <f t="shared" si="3"/>
        <v/>
      </c>
      <c r="Y50" t="str">
        <f t="shared" si="11"/>
        <v/>
      </c>
      <c r="AA50" t="str">
        <f t="shared" si="4"/>
        <v/>
      </c>
      <c r="AB50" t="str">
        <f t="shared" si="5"/>
        <v/>
      </c>
      <c r="AF50" s="20"/>
      <c r="AJ50" t="str">
        <f t="shared" si="6"/>
        <v/>
      </c>
      <c r="AK50" t="str">
        <f t="shared" si="16"/>
        <v/>
      </c>
      <c r="AL50" t="str">
        <f t="shared" si="17"/>
        <v/>
      </c>
      <c r="AM50" t="str">
        <f t="shared" si="12"/>
        <v/>
      </c>
      <c r="AN50" t="str">
        <f t="shared" si="13"/>
        <v/>
      </c>
      <c r="AQ50" s="20" t="str">
        <f t="shared" si="19"/>
        <v/>
      </c>
      <c r="AR50" s="3" t="str">
        <f t="shared" si="20"/>
        <v/>
      </c>
      <c r="AS50" s="3" t="str">
        <f t="shared" si="21"/>
        <v/>
      </c>
      <c r="AT50" t="str">
        <f t="shared" si="22"/>
        <v/>
      </c>
    </row>
    <row r="51" spans="1:46" x14ac:dyDescent="0.3">
      <c r="A51" s="7"/>
      <c r="B51" s="14" t="str">
        <f t="shared" si="7"/>
        <v/>
      </c>
      <c r="C51" s="25"/>
      <c r="D51" s="81"/>
      <c r="E51" s="81"/>
      <c r="F51" s="81"/>
      <c r="G51" s="81"/>
      <c r="H51" s="13" t="str" cm="1">
        <f t="array" ref="H51">_xlfn.IFS(AND($E$12="Concentration",E51&lt;&gt;"",G51&lt;&gt;"",C51&lt;&gt;""),"X",AND(OR($E$12="Flow",$E$12="Volume"),D51&lt;&gt;"",F51&lt;&gt;"",C51&lt;&gt;""),"X",AND($E$12="Depth",$E$10&lt;&gt;"",$E$8&lt;&gt;"",D51&lt;&gt;"",F51&lt;&gt;"",C51&lt;&gt;""),"X",AND($E$12="Load",D51&lt;="",E51&lt;&gt;"",F51&lt;&gt;"",G51&lt;&gt;"",C51&lt;&gt;""),"X",AND($E$12="Yield",D51&lt;="",E51&lt;&gt;"",F51&lt;&gt;"",G51&lt;&gt;"",$E$8&lt;&gt;"",$E$10&lt;&gt;"",C51&lt;&gt;""),"X",C51="","",1&gt;0,"")</f>
        <v/>
      </c>
      <c r="I51" s="7"/>
      <c r="J51" s="121" t="str" cm="1">
        <f t="array" ref="J51">_xlfn.IFS(AND($E$12="Concentration",E51&lt;&gt;""),E51,AND(OR($E$12="Volume", $E$12="Flow"),D51&lt;&gt;""),D51,AND($E$12="Load",D51&lt;&gt;"",E51&lt;&gt;""),D51*E51*conv_fact,AND($E$12="Yield",D51&lt;&gt;"",E51&lt;&gt;"", $E$8&lt;&gt;""),D51*E51*conv_fact/$E$8,AND($E$12="Depth",D51&lt;&gt;"",$E$8&lt;&gt;""),D51*conv_fact/$E$8,OR(D51="",E51=""),"")</f>
        <v/>
      </c>
      <c r="K51" s="121" t="str" cm="1">
        <f t="array" ref="K51">_xlfn.IFS(AND($E$12="Concentration",G51&lt;&gt;""),G51,AND(OR($E$12="Volume", $E$12="Flow"),F51&lt;&gt;""),F51,AND($E$12="Load",F51&lt;&gt;"",G51&lt;&gt;""),F51*G51*conv_fact,AND($E$12="Yield",F51&lt;&gt;"",G51&lt;&gt;"", $E$10&lt;&gt;""),F51*G51*conv_fact/$E$10, AND($E$12="Depth",F51&lt;&gt;"",$E$10&lt;&gt;""),F51*conv_fact/$E$10,OR(F51="",G51=""),"")</f>
        <v/>
      </c>
      <c r="L51" s="118" t="e">
        <f t="shared" si="0"/>
        <v>#N/A</v>
      </c>
      <c r="M51" s="118" t="e">
        <f t="shared" si="1"/>
        <v>#N/A</v>
      </c>
      <c r="O51" s="3" t="str">
        <f t="shared" si="8"/>
        <v/>
      </c>
      <c r="P51" s="3" t="str">
        <f t="shared" si="9"/>
        <v/>
      </c>
      <c r="Q51" t="str">
        <f t="shared" si="15"/>
        <v/>
      </c>
      <c r="S51" s="20" t="str">
        <v/>
      </c>
      <c r="T51" s="20" t="str">
        <f t="shared" si="2"/>
        <v/>
      </c>
      <c r="U51" t="str">
        <f t="shared" si="10"/>
        <v/>
      </c>
      <c r="V51" s="3" t="str">
        <f t="shared" si="18"/>
        <v/>
      </c>
      <c r="W51" s="20" t="str">
        <v/>
      </c>
      <c r="X51" s="20" t="str">
        <f t="shared" si="3"/>
        <v/>
      </c>
      <c r="Y51" t="str">
        <f t="shared" si="11"/>
        <v/>
      </c>
      <c r="AA51" t="str">
        <f t="shared" si="4"/>
        <v/>
      </c>
      <c r="AB51" t="str">
        <f t="shared" si="5"/>
        <v/>
      </c>
      <c r="AF51" s="20"/>
      <c r="AJ51" t="str">
        <f t="shared" si="6"/>
        <v/>
      </c>
      <c r="AK51" t="str">
        <f t="shared" si="16"/>
        <v/>
      </c>
      <c r="AL51" t="str">
        <f t="shared" si="17"/>
        <v/>
      </c>
      <c r="AM51" t="str">
        <f t="shared" si="12"/>
        <v/>
      </c>
      <c r="AN51" t="str">
        <f t="shared" si="13"/>
        <v/>
      </c>
      <c r="AQ51" s="20" t="str">
        <f t="shared" si="19"/>
        <v/>
      </c>
      <c r="AR51" s="3" t="str">
        <f t="shared" si="20"/>
        <v/>
      </c>
      <c r="AS51" s="3" t="str">
        <f t="shared" si="21"/>
        <v/>
      </c>
      <c r="AT51" t="str">
        <f t="shared" si="22"/>
        <v/>
      </c>
    </row>
    <row r="52" spans="1:46" x14ac:dyDescent="0.3">
      <c r="A52" s="7"/>
      <c r="B52" s="14" t="str">
        <f t="shared" si="7"/>
        <v/>
      </c>
      <c r="C52" s="25"/>
      <c r="D52" s="81"/>
      <c r="E52" s="81"/>
      <c r="F52" s="81"/>
      <c r="G52" s="81"/>
      <c r="H52" s="13" t="str" cm="1">
        <f t="array" ref="H52">_xlfn.IFS(AND($E$12="Concentration",E52&lt;&gt;"",G52&lt;&gt;"",C52&lt;&gt;""),"X",AND(OR($E$12="Flow",$E$12="Volume"),D52&lt;&gt;"",F52&lt;&gt;"",C52&lt;&gt;""),"X",AND($E$12="Depth",$E$10&lt;&gt;"",$E$8&lt;&gt;"",D52&lt;&gt;"",F52&lt;&gt;"",C52&lt;&gt;""),"X",AND($E$12="Load",D52&lt;="",E52&lt;&gt;"",F52&lt;&gt;"",G52&lt;&gt;"",C52&lt;&gt;""),"X",AND($E$12="Yield",D52&lt;="",E52&lt;&gt;"",F52&lt;&gt;"",G52&lt;&gt;"",$E$8&lt;&gt;"",$E$10&lt;&gt;"",C52&lt;&gt;""),"X",C52="","",1&gt;0,"")</f>
        <v/>
      </c>
      <c r="I52" s="7"/>
      <c r="J52" s="121" t="str" cm="1">
        <f t="array" ref="J52">_xlfn.IFS(AND($E$12="Concentration",E52&lt;&gt;""),E52,AND(OR($E$12="Volume", $E$12="Flow"),D52&lt;&gt;""),D52,AND($E$12="Load",D52&lt;&gt;"",E52&lt;&gt;""),D52*E52*conv_fact,AND($E$12="Yield",D52&lt;&gt;"",E52&lt;&gt;"", $E$8&lt;&gt;""),D52*E52*conv_fact/$E$8,AND($E$12="Depth",D52&lt;&gt;"",$E$8&lt;&gt;""),D52*conv_fact/$E$8,OR(D52="",E52=""),"")</f>
        <v/>
      </c>
      <c r="K52" s="121" t="str" cm="1">
        <f t="array" ref="K52">_xlfn.IFS(AND($E$12="Concentration",G52&lt;&gt;""),G52,AND(OR($E$12="Volume", $E$12="Flow"),F52&lt;&gt;""),F52,AND($E$12="Load",F52&lt;&gt;"",G52&lt;&gt;""),F52*G52*conv_fact,AND($E$12="Yield",F52&lt;&gt;"",G52&lt;&gt;"", $E$10&lt;&gt;""),F52*G52*conv_fact/$E$10, AND($E$12="Depth",F52&lt;&gt;"",$E$10&lt;&gt;""),F52*conv_fact/$E$10,OR(F52="",G52=""),"")</f>
        <v/>
      </c>
      <c r="L52" s="118" t="e">
        <f t="shared" si="0"/>
        <v>#N/A</v>
      </c>
      <c r="M52" s="118" t="e">
        <f t="shared" si="1"/>
        <v>#N/A</v>
      </c>
      <c r="O52" s="3" t="str">
        <f t="shared" si="8"/>
        <v/>
      </c>
      <c r="P52" s="3" t="str">
        <f t="shared" si="9"/>
        <v/>
      </c>
      <c r="Q52" t="str">
        <f t="shared" si="15"/>
        <v/>
      </c>
      <c r="S52" s="20" t="str">
        <v/>
      </c>
      <c r="T52" s="20" t="str">
        <f t="shared" si="2"/>
        <v/>
      </c>
      <c r="U52" t="str">
        <f t="shared" si="10"/>
        <v/>
      </c>
      <c r="V52" s="3" t="str">
        <f t="shared" si="18"/>
        <v/>
      </c>
      <c r="W52" s="20" t="str">
        <v/>
      </c>
      <c r="X52" s="20" t="str">
        <f t="shared" si="3"/>
        <v/>
      </c>
      <c r="Y52" t="str">
        <f t="shared" si="11"/>
        <v/>
      </c>
      <c r="AA52" t="str">
        <f t="shared" si="4"/>
        <v/>
      </c>
      <c r="AB52" t="str">
        <f t="shared" si="5"/>
        <v/>
      </c>
      <c r="AF52" s="20"/>
      <c r="AJ52" t="str">
        <f t="shared" si="6"/>
        <v/>
      </c>
      <c r="AK52" t="str">
        <f t="shared" si="16"/>
        <v/>
      </c>
      <c r="AL52" t="str">
        <f t="shared" si="17"/>
        <v/>
      </c>
      <c r="AM52" t="str">
        <f t="shared" si="12"/>
        <v/>
      </c>
      <c r="AN52" t="str">
        <f t="shared" si="13"/>
        <v/>
      </c>
      <c r="AQ52" s="20" t="str">
        <f t="shared" si="19"/>
        <v/>
      </c>
      <c r="AR52" s="3" t="str">
        <f t="shared" si="20"/>
        <v/>
      </c>
      <c r="AS52" s="3" t="str">
        <f t="shared" si="21"/>
        <v/>
      </c>
      <c r="AT52" t="str">
        <f t="shared" si="22"/>
        <v/>
      </c>
    </row>
    <row r="53" spans="1:46" x14ac:dyDescent="0.3">
      <c r="A53" s="7"/>
      <c r="B53" s="14" t="str">
        <f t="shared" si="7"/>
        <v/>
      </c>
      <c r="C53" s="25"/>
      <c r="D53" s="81"/>
      <c r="E53" s="81"/>
      <c r="F53" s="81"/>
      <c r="G53" s="81"/>
      <c r="H53" s="13" t="str" cm="1">
        <f t="array" ref="H53">_xlfn.IFS(AND($E$12="Concentration",E53&lt;&gt;"",G53&lt;&gt;"",C53&lt;&gt;""),"X",AND(OR($E$12="Flow",$E$12="Volume"),D53&lt;&gt;"",F53&lt;&gt;"",C53&lt;&gt;""),"X",AND($E$12="Depth",$E$10&lt;&gt;"",$E$8&lt;&gt;"",D53&lt;&gt;"",F53&lt;&gt;"",C53&lt;&gt;""),"X",AND($E$12="Load",D53&lt;="",E53&lt;&gt;"",F53&lt;&gt;"",G53&lt;&gt;"",C53&lt;&gt;""),"X",AND($E$12="Yield",D53&lt;="",E53&lt;&gt;"",F53&lt;&gt;"",G53&lt;&gt;"",$E$8&lt;&gt;"",$E$10&lt;&gt;"",C53&lt;&gt;""),"X",C53="","",1&gt;0,"")</f>
        <v/>
      </c>
      <c r="I53" s="7"/>
      <c r="J53" s="121" t="str" cm="1">
        <f t="array" ref="J53">_xlfn.IFS(AND($E$12="Concentration",E53&lt;&gt;""),E53,AND(OR($E$12="Volume", $E$12="Flow"),D53&lt;&gt;""),D53,AND($E$12="Load",D53&lt;&gt;"",E53&lt;&gt;""),D53*E53*conv_fact,AND($E$12="Yield",D53&lt;&gt;"",E53&lt;&gt;"", $E$8&lt;&gt;""),D53*E53*conv_fact/$E$8,AND($E$12="Depth",D53&lt;&gt;"",$E$8&lt;&gt;""),D53*conv_fact/$E$8,OR(D53="",E53=""),"")</f>
        <v/>
      </c>
      <c r="K53" s="121" t="str" cm="1">
        <f t="array" ref="K53">_xlfn.IFS(AND($E$12="Concentration",G53&lt;&gt;""),G53,AND(OR($E$12="Volume", $E$12="Flow"),F53&lt;&gt;""),F53,AND($E$12="Load",F53&lt;&gt;"",G53&lt;&gt;""),F53*G53*conv_fact,AND($E$12="Yield",F53&lt;&gt;"",G53&lt;&gt;"", $E$10&lt;&gt;""),F53*G53*conv_fact/$E$10, AND($E$12="Depth",F53&lt;&gt;"",$E$10&lt;&gt;""),F53*conv_fact/$E$10,OR(F53="",G53=""),"")</f>
        <v/>
      </c>
      <c r="L53" s="118" t="e">
        <f t="shared" si="0"/>
        <v>#N/A</v>
      </c>
      <c r="M53" s="118" t="e">
        <f t="shared" si="1"/>
        <v>#N/A</v>
      </c>
      <c r="O53" s="3" t="str">
        <f t="shared" si="8"/>
        <v/>
      </c>
      <c r="P53" s="3" t="str">
        <f t="shared" si="9"/>
        <v/>
      </c>
      <c r="Q53" t="str">
        <f t="shared" si="15"/>
        <v/>
      </c>
      <c r="S53" s="20" t="str">
        <v/>
      </c>
      <c r="T53" s="20" t="str">
        <f t="shared" si="2"/>
        <v/>
      </c>
      <c r="U53" t="str">
        <f t="shared" si="10"/>
        <v/>
      </c>
      <c r="V53" s="3" t="str">
        <f t="shared" si="18"/>
        <v/>
      </c>
      <c r="W53" s="20" t="str">
        <v/>
      </c>
      <c r="X53" s="20" t="str">
        <f t="shared" si="3"/>
        <v/>
      </c>
      <c r="Y53" t="str">
        <f t="shared" si="11"/>
        <v/>
      </c>
      <c r="AA53" t="str">
        <f t="shared" si="4"/>
        <v/>
      </c>
      <c r="AB53" t="str">
        <f t="shared" si="5"/>
        <v/>
      </c>
      <c r="AF53" s="20"/>
      <c r="AJ53" t="str">
        <f t="shared" si="6"/>
        <v/>
      </c>
      <c r="AK53" t="str">
        <f t="shared" si="16"/>
        <v/>
      </c>
      <c r="AL53" t="str">
        <f t="shared" si="17"/>
        <v/>
      </c>
      <c r="AM53" t="str">
        <f t="shared" si="12"/>
        <v/>
      </c>
      <c r="AN53" t="str">
        <f t="shared" si="13"/>
        <v/>
      </c>
      <c r="AQ53" s="20" t="str">
        <f t="shared" si="19"/>
        <v/>
      </c>
      <c r="AR53" s="3" t="str">
        <f t="shared" si="20"/>
        <v/>
      </c>
      <c r="AS53" s="3" t="str">
        <f t="shared" si="21"/>
        <v/>
      </c>
      <c r="AT53" t="str">
        <f t="shared" si="22"/>
        <v/>
      </c>
    </row>
    <row r="54" spans="1:46" x14ac:dyDescent="0.3">
      <c r="A54" s="7"/>
      <c r="B54" s="14" t="str">
        <f t="shared" si="7"/>
        <v/>
      </c>
      <c r="C54" s="25"/>
      <c r="D54" s="81"/>
      <c r="E54" s="81"/>
      <c r="F54" s="81"/>
      <c r="G54" s="81"/>
      <c r="H54" s="13" t="str" cm="1">
        <f t="array" ref="H54">_xlfn.IFS(AND($E$12="Concentration",E54&lt;&gt;"",G54&lt;&gt;"",C54&lt;&gt;""),"X",AND(OR($E$12="Flow",$E$12="Volume"),D54&lt;&gt;"",F54&lt;&gt;"",C54&lt;&gt;""),"X",AND($E$12="Depth",$E$10&lt;&gt;"",$E$8&lt;&gt;"",D54&lt;&gt;"",F54&lt;&gt;"",C54&lt;&gt;""),"X",AND($E$12="Load",D54&lt;="",E54&lt;&gt;"",F54&lt;&gt;"",G54&lt;&gt;"",C54&lt;&gt;""),"X",AND($E$12="Yield",D54&lt;="",E54&lt;&gt;"",F54&lt;&gt;"",G54&lt;&gt;"",$E$8&lt;&gt;"",$E$10&lt;&gt;"",C54&lt;&gt;""),"X",C54="","",1&gt;0,"")</f>
        <v/>
      </c>
      <c r="I54" s="7"/>
      <c r="J54" s="121" t="str" cm="1">
        <f t="array" ref="J54">_xlfn.IFS(AND($E$12="Concentration",E54&lt;&gt;""),E54,AND(OR($E$12="Volume", $E$12="Flow"),D54&lt;&gt;""),D54,AND($E$12="Load",D54&lt;&gt;"",E54&lt;&gt;""),D54*E54*conv_fact,AND($E$12="Yield",D54&lt;&gt;"",E54&lt;&gt;"", $E$8&lt;&gt;""),D54*E54*conv_fact/$E$8,AND($E$12="Depth",D54&lt;&gt;"",$E$8&lt;&gt;""),D54*conv_fact/$E$8,OR(D54="",E54=""),"")</f>
        <v/>
      </c>
      <c r="K54" s="121" t="str" cm="1">
        <f t="array" ref="K54">_xlfn.IFS(AND($E$12="Concentration",G54&lt;&gt;""),G54,AND(OR($E$12="Volume", $E$12="Flow"),F54&lt;&gt;""),F54,AND($E$12="Load",F54&lt;&gt;"",G54&lt;&gt;""),F54*G54*conv_fact,AND($E$12="Yield",F54&lt;&gt;"",G54&lt;&gt;"", $E$10&lt;&gt;""),F54*G54*conv_fact/$E$10, AND($E$12="Depth",F54&lt;&gt;"",$E$10&lt;&gt;""),F54*conv_fact/$E$10,OR(F54="",G54=""),"")</f>
        <v/>
      </c>
      <c r="L54" s="118" t="e">
        <f t="shared" si="0"/>
        <v>#N/A</v>
      </c>
      <c r="M54" s="118" t="e">
        <f t="shared" si="1"/>
        <v>#N/A</v>
      </c>
      <c r="O54" s="3" t="str">
        <f t="shared" si="8"/>
        <v/>
      </c>
      <c r="P54" s="3" t="str">
        <f t="shared" si="9"/>
        <v/>
      </c>
      <c r="Q54" t="str">
        <f t="shared" si="15"/>
        <v/>
      </c>
      <c r="S54" s="20" t="str">
        <v/>
      </c>
      <c r="T54" s="20" t="str">
        <f t="shared" si="2"/>
        <v/>
      </c>
      <c r="U54" t="str">
        <f t="shared" si="10"/>
        <v/>
      </c>
      <c r="V54" s="3" t="str">
        <f t="shared" si="18"/>
        <v/>
      </c>
      <c r="W54" s="20" t="str">
        <v/>
      </c>
      <c r="X54" s="20" t="str">
        <f t="shared" si="3"/>
        <v/>
      </c>
      <c r="Y54" t="str">
        <f t="shared" si="11"/>
        <v/>
      </c>
      <c r="AA54" t="str">
        <f t="shared" si="4"/>
        <v/>
      </c>
      <c r="AB54" t="str">
        <f t="shared" si="5"/>
        <v/>
      </c>
      <c r="AF54" s="20"/>
      <c r="AJ54" t="str">
        <f t="shared" si="6"/>
        <v/>
      </c>
      <c r="AK54" t="str">
        <f t="shared" si="16"/>
        <v/>
      </c>
      <c r="AL54" t="str">
        <f t="shared" si="17"/>
        <v/>
      </c>
      <c r="AM54" t="str">
        <f t="shared" si="12"/>
        <v/>
      </c>
      <c r="AN54" t="str">
        <f t="shared" si="13"/>
        <v/>
      </c>
      <c r="AQ54" s="20" t="str">
        <f t="shared" si="19"/>
        <v/>
      </c>
      <c r="AR54" s="3" t="str">
        <f t="shared" si="20"/>
        <v/>
      </c>
      <c r="AS54" s="3" t="str">
        <f t="shared" si="21"/>
        <v/>
      </c>
      <c r="AT54" t="str">
        <f t="shared" si="22"/>
        <v/>
      </c>
    </row>
    <row r="55" spans="1:46" x14ac:dyDescent="0.3">
      <c r="A55" s="7"/>
      <c r="B55" s="14" t="str">
        <f t="shared" si="7"/>
        <v/>
      </c>
      <c r="C55" s="25"/>
      <c r="D55" s="81"/>
      <c r="E55" s="81"/>
      <c r="F55" s="81"/>
      <c r="G55" s="81"/>
      <c r="H55" s="13" t="str" cm="1">
        <f t="array" ref="H55">_xlfn.IFS(AND($E$12="Concentration",E55&lt;&gt;"",G55&lt;&gt;"",C55&lt;&gt;""),"X",AND(OR($E$12="Flow",$E$12="Volume"),D55&lt;&gt;"",F55&lt;&gt;"",C55&lt;&gt;""),"X",AND($E$12="Depth",$E$10&lt;&gt;"",$E$8&lt;&gt;"",D55&lt;&gt;"",F55&lt;&gt;"",C55&lt;&gt;""),"X",AND($E$12="Load",D55&lt;="",E55&lt;&gt;"",F55&lt;&gt;"",G55&lt;&gt;"",C55&lt;&gt;""),"X",AND($E$12="Yield",D55&lt;="",E55&lt;&gt;"",F55&lt;&gt;"",G55&lt;&gt;"",$E$8&lt;&gt;"",$E$10&lt;&gt;"",C55&lt;&gt;""),"X",C55="","",1&gt;0,"")</f>
        <v/>
      </c>
      <c r="I55" s="7"/>
      <c r="J55" s="121" t="str" cm="1">
        <f t="array" ref="J55">_xlfn.IFS(AND($E$12="Concentration",E55&lt;&gt;""),E55,AND(OR($E$12="Volume", $E$12="Flow"),D55&lt;&gt;""),D55,AND($E$12="Load",D55&lt;&gt;"",E55&lt;&gt;""),D55*E55*conv_fact,AND($E$12="Yield",D55&lt;&gt;"",E55&lt;&gt;"", $E$8&lt;&gt;""),D55*E55*conv_fact/$E$8,AND($E$12="Depth",D55&lt;&gt;"",$E$8&lt;&gt;""),D55*conv_fact/$E$8,OR(D55="",E55=""),"")</f>
        <v/>
      </c>
      <c r="K55" s="121" t="str" cm="1">
        <f t="array" ref="K55">_xlfn.IFS(AND($E$12="Concentration",G55&lt;&gt;""),G55,AND(OR($E$12="Volume", $E$12="Flow"),F55&lt;&gt;""),F55,AND($E$12="Load",F55&lt;&gt;"",G55&lt;&gt;""),F55*G55*conv_fact,AND($E$12="Yield",F55&lt;&gt;"",G55&lt;&gt;"", $E$10&lt;&gt;""),F55*G55*conv_fact/$E$10, AND($E$12="Depth",F55&lt;&gt;"",$E$10&lt;&gt;""),F55*conv_fact/$E$10,OR(F55="",G55=""),"")</f>
        <v/>
      </c>
      <c r="L55" s="118" t="e">
        <f t="shared" si="0"/>
        <v>#N/A</v>
      </c>
      <c r="M55" s="118" t="e">
        <f t="shared" si="1"/>
        <v>#N/A</v>
      </c>
      <c r="O55" s="3" t="str">
        <f t="shared" si="8"/>
        <v/>
      </c>
      <c r="P55" s="3" t="str">
        <f t="shared" si="9"/>
        <v/>
      </c>
      <c r="Q55" t="str">
        <f t="shared" si="15"/>
        <v/>
      </c>
      <c r="S55" s="20" t="str">
        <v/>
      </c>
      <c r="T55" s="20" t="str">
        <f t="shared" si="2"/>
        <v/>
      </c>
      <c r="U55" t="str">
        <f t="shared" si="10"/>
        <v/>
      </c>
      <c r="V55" s="3" t="str">
        <f t="shared" si="18"/>
        <v/>
      </c>
      <c r="W55" s="20" t="str">
        <v/>
      </c>
      <c r="X55" s="20" t="str">
        <f t="shared" si="3"/>
        <v/>
      </c>
      <c r="Y55" t="str">
        <f t="shared" si="11"/>
        <v/>
      </c>
      <c r="AA55" t="str">
        <f t="shared" si="4"/>
        <v/>
      </c>
      <c r="AB55" t="str">
        <f t="shared" si="5"/>
        <v/>
      </c>
      <c r="AF55" s="20"/>
      <c r="AJ55" t="str">
        <f t="shared" si="6"/>
        <v/>
      </c>
      <c r="AK55" t="str">
        <f t="shared" si="16"/>
        <v/>
      </c>
      <c r="AL55" t="str">
        <f t="shared" si="17"/>
        <v/>
      </c>
      <c r="AM55" t="str">
        <f t="shared" si="12"/>
        <v/>
      </c>
      <c r="AN55" t="str">
        <f t="shared" si="13"/>
        <v/>
      </c>
      <c r="AQ55" s="20" t="str">
        <f t="shared" si="19"/>
        <v/>
      </c>
      <c r="AR55" s="3" t="str">
        <f t="shared" si="20"/>
        <v/>
      </c>
      <c r="AS55" s="3" t="str">
        <f t="shared" si="21"/>
        <v/>
      </c>
      <c r="AT55" t="str">
        <f t="shared" si="22"/>
        <v/>
      </c>
    </row>
    <row r="56" spans="1:46" x14ac:dyDescent="0.3">
      <c r="A56" s="7"/>
      <c r="B56" s="14" t="str">
        <f t="shared" si="7"/>
        <v/>
      </c>
      <c r="C56" s="25"/>
      <c r="D56" s="81"/>
      <c r="E56" s="81"/>
      <c r="F56" s="81"/>
      <c r="G56" s="81"/>
      <c r="H56" s="13" t="str" cm="1">
        <f t="array" ref="H56">_xlfn.IFS(AND($E$12="Concentration",E56&lt;&gt;"",G56&lt;&gt;"",C56&lt;&gt;""),"X",AND(OR($E$12="Flow",$E$12="Volume"),D56&lt;&gt;"",F56&lt;&gt;"",C56&lt;&gt;""),"X",AND($E$12="Depth",$E$10&lt;&gt;"",$E$8&lt;&gt;"",D56&lt;&gt;"",F56&lt;&gt;"",C56&lt;&gt;""),"X",AND($E$12="Load",D56&lt;="",E56&lt;&gt;"",F56&lt;&gt;"",G56&lt;&gt;"",C56&lt;&gt;""),"X",AND($E$12="Yield",D56&lt;="",E56&lt;&gt;"",F56&lt;&gt;"",G56&lt;&gt;"",$E$8&lt;&gt;"",$E$10&lt;&gt;"",C56&lt;&gt;""),"X",C56="","",1&gt;0,"")</f>
        <v/>
      </c>
      <c r="I56" s="7"/>
      <c r="J56" s="121" t="str" cm="1">
        <f t="array" ref="J56">_xlfn.IFS(AND($E$12="Concentration",E56&lt;&gt;""),E56,AND(OR($E$12="Volume", $E$12="Flow"),D56&lt;&gt;""),D56,AND($E$12="Load",D56&lt;&gt;"",E56&lt;&gt;""),D56*E56*conv_fact,AND($E$12="Yield",D56&lt;&gt;"",E56&lt;&gt;"", $E$8&lt;&gt;""),D56*E56*conv_fact/$E$8,AND($E$12="Depth",D56&lt;&gt;"",$E$8&lt;&gt;""),D56*conv_fact/$E$8,OR(D56="",E56=""),"")</f>
        <v/>
      </c>
      <c r="K56" s="121" t="str" cm="1">
        <f t="array" ref="K56">_xlfn.IFS(AND($E$12="Concentration",G56&lt;&gt;""),G56,AND(OR($E$12="Volume", $E$12="Flow"),F56&lt;&gt;""),F56,AND($E$12="Load",F56&lt;&gt;"",G56&lt;&gt;""),F56*G56*conv_fact,AND($E$12="Yield",F56&lt;&gt;"",G56&lt;&gt;"", $E$10&lt;&gt;""),F56*G56*conv_fact/$E$10, AND($E$12="Depth",F56&lt;&gt;"",$E$10&lt;&gt;""),F56*conv_fact/$E$10,OR(F56="",G56=""),"")</f>
        <v/>
      </c>
      <c r="L56" s="118" t="e">
        <f t="shared" si="0"/>
        <v>#N/A</v>
      </c>
      <c r="M56" s="118" t="e">
        <f t="shared" si="1"/>
        <v>#N/A</v>
      </c>
      <c r="O56" s="3" t="str">
        <f t="shared" si="8"/>
        <v/>
      </c>
      <c r="P56" s="3" t="str">
        <f t="shared" si="9"/>
        <v/>
      </c>
      <c r="Q56" t="str">
        <f t="shared" si="15"/>
        <v/>
      </c>
      <c r="S56" s="20" t="str">
        <v/>
      </c>
      <c r="T56" s="20" t="str">
        <f t="shared" si="2"/>
        <v/>
      </c>
      <c r="U56" t="str">
        <f t="shared" si="10"/>
        <v/>
      </c>
      <c r="V56" s="3" t="str">
        <f t="shared" si="18"/>
        <v/>
      </c>
      <c r="W56" s="20" t="str">
        <v/>
      </c>
      <c r="X56" s="20" t="str">
        <f t="shared" si="3"/>
        <v/>
      </c>
      <c r="Y56" t="str">
        <f t="shared" si="11"/>
        <v/>
      </c>
      <c r="AA56" t="str">
        <f t="shared" si="4"/>
        <v/>
      </c>
      <c r="AB56" t="str">
        <f t="shared" si="5"/>
        <v/>
      </c>
      <c r="AF56" s="20"/>
      <c r="AJ56" t="str">
        <f t="shared" si="6"/>
        <v/>
      </c>
      <c r="AK56" t="str">
        <f t="shared" si="16"/>
        <v/>
      </c>
      <c r="AL56" t="str">
        <f t="shared" si="17"/>
        <v/>
      </c>
      <c r="AM56" t="str">
        <f t="shared" si="12"/>
        <v/>
      </c>
      <c r="AN56" t="str">
        <f t="shared" si="13"/>
        <v/>
      </c>
      <c r="AQ56" s="20" t="str">
        <f t="shared" si="19"/>
        <v/>
      </c>
      <c r="AR56" s="3" t="str">
        <f t="shared" si="20"/>
        <v/>
      </c>
      <c r="AS56" s="3" t="str">
        <f t="shared" si="21"/>
        <v/>
      </c>
      <c r="AT56" t="str">
        <f t="shared" si="22"/>
        <v/>
      </c>
    </row>
    <row r="57" spans="1:46" x14ac:dyDescent="0.3">
      <c r="A57" s="7"/>
      <c r="B57" s="14" t="str">
        <f t="shared" si="7"/>
        <v/>
      </c>
      <c r="C57" s="25"/>
      <c r="D57" s="81"/>
      <c r="E57" s="81"/>
      <c r="F57" s="81"/>
      <c r="G57" s="81"/>
      <c r="H57" s="13" t="str" cm="1">
        <f t="array" ref="H57">_xlfn.IFS(AND($E$12="Concentration",E57&lt;&gt;"",G57&lt;&gt;"",C57&lt;&gt;""),"X",AND(OR($E$12="Flow",$E$12="Volume"),D57&lt;&gt;"",F57&lt;&gt;"",C57&lt;&gt;""),"X",AND($E$12="Depth",$E$10&lt;&gt;"",$E$8&lt;&gt;"",D57&lt;&gt;"",F57&lt;&gt;"",C57&lt;&gt;""),"X",AND($E$12="Load",D57&lt;="",E57&lt;&gt;"",F57&lt;&gt;"",G57&lt;&gt;"",C57&lt;&gt;""),"X",AND($E$12="Yield",D57&lt;="",E57&lt;&gt;"",F57&lt;&gt;"",G57&lt;&gt;"",$E$8&lt;&gt;"",$E$10&lt;&gt;"",C57&lt;&gt;""),"X",C57="","",1&gt;0,"")</f>
        <v/>
      </c>
      <c r="I57" s="7"/>
      <c r="J57" s="121" t="str" cm="1">
        <f t="array" ref="J57">_xlfn.IFS(AND($E$12="Concentration",E57&lt;&gt;""),E57,AND(OR($E$12="Volume", $E$12="Flow"),D57&lt;&gt;""),D57,AND($E$12="Load",D57&lt;&gt;"",E57&lt;&gt;""),D57*E57*conv_fact,AND($E$12="Yield",D57&lt;&gt;"",E57&lt;&gt;"", $E$8&lt;&gt;""),D57*E57*conv_fact/$E$8,AND($E$12="Depth",D57&lt;&gt;"",$E$8&lt;&gt;""),D57*conv_fact/$E$8,OR(D57="",E57=""),"")</f>
        <v/>
      </c>
      <c r="K57" s="121" t="str" cm="1">
        <f t="array" ref="K57">_xlfn.IFS(AND($E$12="Concentration",G57&lt;&gt;""),G57,AND(OR($E$12="Volume", $E$12="Flow"),F57&lt;&gt;""),F57,AND($E$12="Load",F57&lt;&gt;"",G57&lt;&gt;""),F57*G57*conv_fact,AND($E$12="Yield",F57&lt;&gt;"",G57&lt;&gt;"", $E$10&lt;&gt;""),F57*G57*conv_fact/$E$10, AND($E$12="Depth",F57&lt;&gt;"",$E$10&lt;&gt;""),F57*conv_fact/$E$10,OR(F57="",G57=""),"")</f>
        <v/>
      </c>
      <c r="L57" s="118" t="e">
        <f t="shared" si="0"/>
        <v>#N/A</v>
      </c>
      <c r="M57" s="118" t="e">
        <f t="shared" si="1"/>
        <v>#N/A</v>
      </c>
      <c r="O57" s="3" t="str">
        <f t="shared" si="8"/>
        <v/>
      </c>
      <c r="P57" s="3" t="str">
        <f t="shared" si="9"/>
        <v/>
      </c>
      <c r="Q57" t="str">
        <f t="shared" si="15"/>
        <v/>
      </c>
      <c r="S57" s="20" t="str">
        <v/>
      </c>
      <c r="T57" s="20" t="str">
        <f t="shared" si="2"/>
        <v/>
      </c>
      <c r="U57" t="str">
        <f t="shared" si="10"/>
        <v/>
      </c>
      <c r="V57" s="3" t="str">
        <f t="shared" si="18"/>
        <v/>
      </c>
      <c r="W57" s="20" t="str">
        <v/>
      </c>
      <c r="X57" s="20" t="str">
        <f t="shared" si="3"/>
        <v/>
      </c>
      <c r="Y57" t="str">
        <f t="shared" si="11"/>
        <v/>
      </c>
      <c r="AA57" t="str">
        <f t="shared" si="4"/>
        <v/>
      </c>
      <c r="AB57" t="str">
        <f t="shared" si="5"/>
        <v/>
      </c>
      <c r="AF57" s="20"/>
      <c r="AJ57" t="str">
        <f t="shared" si="6"/>
        <v/>
      </c>
      <c r="AK57" t="str">
        <f t="shared" si="16"/>
        <v/>
      </c>
      <c r="AL57" t="str">
        <f t="shared" si="17"/>
        <v/>
      </c>
      <c r="AM57" t="str">
        <f t="shared" si="12"/>
        <v/>
      </c>
      <c r="AN57" t="str">
        <f t="shared" si="13"/>
        <v/>
      </c>
      <c r="AQ57" s="20" t="str">
        <f t="shared" si="19"/>
        <v/>
      </c>
      <c r="AR57" s="3" t="str">
        <f t="shared" si="20"/>
        <v/>
      </c>
      <c r="AS57" s="3" t="str">
        <f t="shared" si="21"/>
        <v/>
      </c>
      <c r="AT57" t="str">
        <f t="shared" si="22"/>
        <v/>
      </c>
    </row>
    <row r="58" spans="1:46" x14ac:dyDescent="0.3">
      <c r="A58" s="7"/>
      <c r="B58" s="14" t="str">
        <f t="shared" si="7"/>
        <v/>
      </c>
      <c r="C58" s="25"/>
      <c r="D58" s="81"/>
      <c r="E58" s="81"/>
      <c r="F58" s="81"/>
      <c r="G58" s="81"/>
      <c r="H58" s="13" t="str" cm="1">
        <f t="array" ref="H58">_xlfn.IFS(AND($E$12="Concentration",E58&lt;&gt;"",G58&lt;&gt;"",C58&lt;&gt;""),"X",AND(OR($E$12="Flow",$E$12="Volume"),D58&lt;&gt;"",F58&lt;&gt;"",C58&lt;&gt;""),"X",AND($E$12="Depth",$E$10&lt;&gt;"",$E$8&lt;&gt;"",D58&lt;&gt;"",F58&lt;&gt;"",C58&lt;&gt;""),"X",AND($E$12="Load",D58&lt;="",E58&lt;&gt;"",F58&lt;&gt;"",G58&lt;&gt;"",C58&lt;&gt;""),"X",AND($E$12="Yield",D58&lt;="",E58&lt;&gt;"",F58&lt;&gt;"",G58&lt;&gt;"",$E$8&lt;&gt;"",$E$10&lt;&gt;"",C58&lt;&gt;""),"X",C58="","",1&gt;0,"")</f>
        <v/>
      </c>
      <c r="I58" s="7"/>
      <c r="J58" s="121" t="str" cm="1">
        <f t="array" ref="J58">_xlfn.IFS(AND($E$12="Concentration",E58&lt;&gt;""),E58,AND(OR($E$12="Volume", $E$12="Flow"),D58&lt;&gt;""),D58,AND($E$12="Load",D58&lt;&gt;"",E58&lt;&gt;""),D58*E58*conv_fact,AND($E$12="Yield",D58&lt;&gt;"",E58&lt;&gt;"", $E$8&lt;&gt;""),D58*E58*conv_fact/$E$8,AND($E$12="Depth",D58&lt;&gt;"",$E$8&lt;&gt;""),D58*conv_fact/$E$8,OR(D58="",E58=""),"")</f>
        <v/>
      </c>
      <c r="K58" s="121" t="str" cm="1">
        <f t="array" ref="K58">_xlfn.IFS(AND($E$12="Concentration",G58&lt;&gt;""),G58,AND(OR($E$12="Volume", $E$12="Flow"),F58&lt;&gt;""),F58,AND($E$12="Load",F58&lt;&gt;"",G58&lt;&gt;""),F58*G58*conv_fact,AND($E$12="Yield",F58&lt;&gt;"",G58&lt;&gt;"", $E$10&lt;&gt;""),F58*G58*conv_fact/$E$10, AND($E$12="Depth",F58&lt;&gt;"",$E$10&lt;&gt;""),F58*conv_fact/$E$10,OR(F58="",G58=""),"")</f>
        <v/>
      </c>
      <c r="L58" s="118" t="e">
        <f t="shared" si="0"/>
        <v>#N/A</v>
      </c>
      <c r="M58" s="118" t="e">
        <f t="shared" si="1"/>
        <v>#N/A</v>
      </c>
      <c r="O58" s="3" t="str">
        <f t="shared" si="8"/>
        <v/>
      </c>
      <c r="P58" s="3" t="str">
        <f t="shared" si="9"/>
        <v/>
      </c>
      <c r="Q58" t="str">
        <f t="shared" si="15"/>
        <v/>
      </c>
      <c r="S58" s="20" t="str">
        <v/>
      </c>
      <c r="T58" s="20" t="str">
        <f t="shared" si="2"/>
        <v/>
      </c>
      <c r="U58" t="str">
        <f t="shared" si="10"/>
        <v/>
      </c>
      <c r="V58" s="3" t="str">
        <f t="shared" si="18"/>
        <v/>
      </c>
      <c r="W58" s="20" t="str">
        <v/>
      </c>
      <c r="X58" s="20" t="str">
        <f t="shared" si="3"/>
        <v/>
      </c>
      <c r="Y58" t="str">
        <f t="shared" si="11"/>
        <v/>
      </c>
      <c r="AA58" t="str">
        <f t="shared" si="4"/>
        <v/>
      </c>
      <c r="AB58" t="str">
        <f t="shared" si="5"/>
        <v/>
      </c>
      <c r="AF58" s="20"/>
      <c r="AJ58" t="str">
        <f t="shared" si="6"/>
        <v/>
      </c>
      <c r="AK58" t="str">
        <f t="shared" si="16"/>
        <v/>
      </c>
      <c r="AL58" t="str">
        <f t="shared" si="17"/>
        <v/>
      </c>
      <c r="AM58" t="str">
        <f t="shared" si="12"/>
        <v/>
      </c>
      <c r="AN58" t="str">
        <f t="shared" si="13"/>
        <v/>
      </c>
      <c r="AQ58" s="20" t="str">
        <f t="shared" si="19"/>
        <v/>
      </c>
      <c r="AR58" s="3" t="str">
        <f t="shared" si="20"/>
        <v/>
      </c>
      <c r="AS58" s="3" t="str">
        <f t="shared" si="21"/>
        <v/>
      </c>
      <c r="AT58" t="str">
        <f t="shared" si="22"/>
        <v/>
      </c>
    </row>
    <row r="59" spans="1:46" x14ac:dyDescent="0.3">
      <c r="A59" s="7"/>
      <c r="B59" s="14" t="str">
        <f t="shared" si="7"/>
        <v/>
      </c>
      <c r="C59" s="25"/>
      <c r="D59" s="81"/>
      <c r="E59" s="81"/>
      <c r="F59" s="81"/>
      <c r="G59" s="81"/>
      <c r="H59" s="13" t="str" cm="1">
        <f t="array" ref="H59">_xlfn.IFS(AND($E$12="Concentration",E59&lt;&gt;"",G59&lt;&gt;"",C59&lt;&gt;""),"X",AND(OR($E$12="Flow",$E$12="Volume"),D59&lt;&gt;"",F59&lt;&gt;"",C59&lt;&gt;""),"X",AND($E$12="Depth",$E$10&lt;&gt;"",$E$8&lt;&gt;"",D59&lt;&gt;"",F59&lt;&gt;"",C59&lt;&gt;""),"X",AND($E$12="Load",D59&lt;="",E59&lt;&gt;"",F59&lt;&gt;"",G59&lt;&gt;"",C59&lt;&gt;""),"X",AND($E$12="Yield",D59&lt;="",E59&lt;&gt;"",F59&lt;&gt;"",G59&lt;&gt;"",$E$8&lt;&gt;"",$E$10&lt;&gt;"",C59&lt;&gt;""),"X",C59="","",1&gt;0,"")</f>
        <v/>
      </c>
      <c r="I59" s="7"/>
      <c r="J59" s="121" t="str" cm="1">
        <f t="array" ref="J59">_xlfn.IFS(AND($E$12="Concentration",E59&lt;&gt;""),E59,AND(OR($E$12="Volume", $E$12="Flow"),D59&lt;&gt;""),D59,AND($E$12="Load",D59&lt;&gt;"",E59&lt;&gt;""),D59*E59*conv_fact,AND($E$12="Yield",D59&lt;&gt;"",E59&lt;&gt;"", $E$8&lt;&gt;""),D59*E59*conv_fact/$E$8,AND($E$12="Depth",D59&lt;&gt;"",$E$8&lt;&gt;""),D59*conv_fact/$E$8,OR(D59="",E59=""),"")</f>
        <v/>
      </c>
      <c r="K59" s="121" t="str" cm="1">
        <f t="array" ref="K59">_xlfn.IFS(AND($E$12="Concentration",G59&lt;&gt;""),G59,AND(OR($E$12="Volume", $E$12="Flow"),F59&lt;&gt;""),F59,AND($E$12="Load",F59&lt;&gt;"",G59&lt;&gt;""),F59*G59*conv_fact,AND($E$12="Yield",F59&lt;&gt;"",G59&lt;&gt;"", $E$10&lt;&gt;""),F59*G59*conv_fact/$E$10, AND($E$12="Depth",F59&lt;&gt;"",$E$10&lt;&gt;""),F59*conv_fact/$E$10,OR(F59="",G59=""),"")</f>
        <v/>
      </c>
      <c r="L59" s="118" t="e">
        <f t="shared" si="0"/>
        <v>#N/A</v>
      </c>
      <c r="M59" s="118" t="e">
        <f t="shared" si="1"/>
        <v>#N/A</v>
      </c>
      <c r="O59" s="3" t="str">
        <f t="shared" si="8"/>
        <v/>
      </c>
      <c r="P59" s="3" t="str">
        <f t="shared" si="9"/>
        <v/>
      </c>
      <c r="Q59" t="str">
        <f t="shared" si="15"/>
        <v/>
      </c>
      <c r="S59" s="20" t="str">
        <v/>
      </c>
      <c r="T59" s="20" t="str">
        <f t="shared" si="2"/>
        <v/>
      </c>
      <c r="U59" t="str">
        <f t="shared" si="10"/>
        <v/>
      </c>
      <c r="V59" s="3" t="str">
        <f t="shared" si="18"/>
        <v/>
      </c>
      <c r="W59" s="20" t="str">
        <v/>
      </c>
      <c r="X59" s="20" t="str">
        <f t="shared" si="3"/>
        <v/>
      </c>
      <c r="Y59" t="str">
        <f t="shared" si="11"/>
        <v/>
      </c>
      <c r="AA59" t="str">
        <f t="shared" si="4"/>
        <v/>
      </c>
      <c r="AB59" t="str">
        <f t="shared" si="5"/>
        <v/>
      </c>
      <c r="AF59" s="20"/>
      <c r="AJ59" t="str">
        <f t="shared" si="6"/>
        <v/>
      </c>
      <c r="AK59" t="str">
        <f t="shared" si="16"/>
        <v/>
      </c>
      <c r="AL59" t="str">
        <f t="shared" si="17"/>
        <v/>
      </c>
      <c r="AM59" t="str">
        <f t="shared" si="12"/>
        <v/>
      </c>
      <c r="AN59" t="str">
        <f t="shared" si="13"/>
        <v/>
      </c>
      <c r="AQ59" s="20" t="str">
        <f t="shared" si="19"/>
        <v/>
      </c>
      <c r="AR59" s="3" t="str">
        <f t="shared" si="20"/>
        <v/>
      </c>
      <c r="AS59" s="3" t="str">
        <f t="shared" si="21"/>
        <v/>
      </c>
      <c r="AT59" t="str">
        <f t="shared" si="22"/>
        <v/>
      </c>
    </row>
    <row r="60" spans="1:46" x14ac:dyDescent="0.3">
      <c r="A60" s="7"/>
      <c r="B60" s="14" t="str">
        <f t="shared" si="7"/>
        <v/>
      </c>
      <c r="C60" s="25"/>
      <c r="D60" s="81"/>
      <c r="E60" s="81"/>
      <c r="F60" s="81"/>
      <c r="G60" s="81"/>
      <c r="H60" s="13" t="str" cm="1">
        <f t="array" ref="H60">_xlfn.IFS(AND($E$12="Concentration",E60&lt;&gt;"",G60&lt;&gt;"",C60&lt;&gt;""),"X",AND(OR($E$12="Flow",$E$12="Volume"),D60&lt;&gt;"",F60&lt;&gt;"",C60&lt;&gt;""),"X",AND($E$12="Depth",$E$10&lt;&gt;"",$E$8&lt;&gt;"",D60&lt;&gt;"",F60&lt;&gt;"",C60&lt;&gt;""),"X",AND($E$12="Load",D60&lt;="",E60&lt;&gt;"",F60&lt;&gt;"",G60&lt;&gt;"",C60&lt;&gt;""),"X",AND($E$12="Yield",D60&lt;="",E60&lt;&gt;"",F60&lt;&gt;"",G60&lt;&gt;"",$E$8&lt;&gt;"",$E$10&lt;&gt;"",C60&lt;&gt;""),"X",C60="","",1&gt;0,"")</f>
        <v/>
      </c>
      <c r="I60" s="7"/>
      <c r="J60" s="121" t="str" cm="1">
        <f t="array" ref="J60">_xlfn.IFS(AND($E$12="Concentration",E60&lt;&gt;""),E60,AND(OR($E$12="Volume", $E$12="Flow"),D60&lt;&gt;""),D60,AND($E$12="Load",D60&lt;&gt;"",E60&lt;&gt;""),D60*E60*conv_fact,AND($E$12="Yield",D60&lt;&gt;"",E60&lt;&gt;"", $E$8&lt;&gt;""),D60*E60*conv_fact/$E$8,AND($E$12="Depth",D60&lt;&gt;"",$E$8&lt;&gt;""),D60*conv_fact/$E$8,OR(D60="",E60=""),"")</f>
        <v/>
      </c>
      <c r="K60" s="121" t="str" cm="1">
        <f t="array" ref="K60">_xlfn.IFS(AND($E$12="Concentration",G60&lt;&gt;""),G60,AND(OR($E$12="Volume", $E$12="Flow"),F60&lt;&gt;""),F60,AND($E$12="Load",F60&lt;&gt;"",G60&lt;&gt;""),F60*G60*conv_fact,AND($E$12="Yield",F60&lt;&gt;"",G60&lt;&gt;"", $E$10&lt;&gt;""),F60*G60*conv_fact/$E$10, AND($E$12="Depth",F60&lt;&gt;"",$E$10&lt;&gt;""),F60*conv_fact/$E$10,OR(F60="",G60=""),"")</f>
        <v/>
      </c>
      <c r="L60" s="118" t="e">
        <f t="shared" si="0"/>
        <v>#N/A</v>
      </c>
      <c r="M60" s="118" t="e">
        <f t="shared" si="1"/>
        <v>#N/A</v>
      </c>
      <c r="O60" s="3" t="str">
        <f t="shared" si="8"/>
        <v/>
      </c>
      <c r="P60" s="3" t="str">
        <f t="shared" si="9"/>
        <v/>
      </c>
      <c r="Q60" t="str">
        <f t="shared" si="15"/>
        <v/>
      </c>
      <c r="S60" s="20" t="str">
        <v/>
      </c>
      <c r="T60" s="20" t="str">
        <f t="shared" si="2"/>
        <v/>
      </c>
      <c r="U60" t="str">
        <f t="shared" si="10"/>
        <v/>
      </c>
      <c r="V60" s="3" t="str">
        <f t="shared" si="18"/>
        <v/>
      </c>
      <c r="W60" s="20" t="str">
        <v/>
      </c>
      <c r="X60" s="20" t="str">
        <f t="shared" si="3"/>
        <v/>
      </c>
      <c r="Y60" t="str">
        <f t="shared" si="11"/>
        <v/>
      </c>
      <c r="AA60" t="str">
        <f t="shared" si="4"/>
        <v/>
      </c>
      <c r="AB60" t="str">
        <f t="shared" si="5"/>
        <v/>
      </c>
      <c r="AF60" s="20"/>
      <c r="AJ60" t="str">
        <f t="shared" si="6"/>
        <v/>
      </c>
      <c r="AK60" t="str">
        <f t="shared" si="16"/>
        <v/>
      </c>
      <c r="AL60" t="str">
        <f t="shared" si="17"/>
        <v/>
      </c>
      <c r="AM60" t="str">
        <f t="shared" si="12"/>
        <v/>
      </c>
      <c r="AN60" t="str">
        <f t="shared" si="13"/>
        <v/>
      </c>
      <c r="AQ60" s="20" t="str">
        <f t="shared" si="19"/>
        <v/>
      </c>
      <c r="AR60" s="3" t="str">
        <f t="shared" si="20"/>
        <v/>
      </c>
      <c r="AS60" s="3" t="str">
        <f t="shared" si="21"/>
        <v/>
      </c>
      <c r="AT60" t="str">
        <f t="shared" si="22"/>
        <v/>
      </c>
    </row>
    <row r="61" spans="1:46" x14ac:dyDescent="0.3">
      <c r="A61" s="7"/>
      <c r="B61" s="14" t="str">
        <f t="shared" si="7"/>
        <v/>
      </c>
      <c r="C61" s="25"/>
      <c r="D61" s="81"/>
      <c r="E61" s="81"/>
      <c r="F61" s="81"/>
      <c r="G61" s="81"/>
      <c r="H61" s="13" t="str" cm="1">
        <f t="array" ref="H61">_xlfn.IFS(AND($E$12="Concentration",E61&lt;&gt;"",G61&lt;&gt;"",C61&lt;&gt;""),"X",AND(OR($E$12="Flow",$E$12="Volume"),D61&lt;&gt;"",F61&lt;&gt;"",C61&lt;&gt;""),"X",AND($E$12="Depth",$E$10&lt;&gt;"",$E$8&lt;&gt;"",D61&lt;&gt;"",F61&lt;&gt;"",C61&lt;&gt;""),"X",AND($E$12="Load",D61&lt;="",E61&lt;&gt;"",F61&lt;&gt;"",G61&lt;&gt;"",C61&lt;&gt;""),"X",AND($E$12="Yield",D61&lt;="",E61&lt;&gt;"",F61&lt;&gt;"",G61&lt;&gt;"",$E$8&lt;&gt;"",$E$10&lt;&gt;"",C61&lt;&gt;""),"X",C61="","",1&gt;0,"")</f>
        <v/>
      </c>
      <c r="I61" s="7"/>
      <c r="J61" s="121" t="str" cm="1">
        <f t="array" ref="J61">_xlfn.IFS(AND($E$12="Concentration",E61&lt;&gt;""),E61,AND(OR($E$12="Volume", $E$12="Flow"),D61&lt;&gt;""),D61,AND($E$12="Load",D61&lt;&gt;"",E61&lt;&gt;""),D61*E61*conv_fact,AND($E$12="Yield",D61&lt;&gt;"",E61&lt;&gt;"", $E$8&lt;&gt;""),D61*E61*conv_fact/$E$8,AND($E$12="Depth",D61&lt;&gt;"",$E$8&lt;&gt;""),D61*conv_fact/$E$8,OR(D61="",E61=""),"")</f>
        <v/>
      </c>
      <c r="K61" s="121" t="str" cm="1">
        <f t="array" ref="K61">_xlfn.IFS(AND($E$12="Concentration",G61&lt;&gt;""),G61,AND(OR($E$12="Volume", $E$12="Flow"),F61&lt;&gt;""),F61,AND($E$12="Load",F61&lt;&gt;"",G61&lt;&gt;""),F61*G61*conv_fact,AND($E$12="Yield",F61&lt;&gt;"",G61&lt;&gt;"", $E$10&lt;&gt;""),F61*G61*conv_fact/$E$10, AND($E$12="Depth",F61&lt;&gt;"",$E$10&lt;&gt;""),F61*conv_fact/$E$10,OR(F61="",G61=""),"")</f>
        <v/>
      </c>
      <c r="L61" s="118" t="e">
        <f t="shared" si="0"/>
        <v>#N/A</v>
      </c>
      <c r="M61" s="118" t="e">
        <f t="shared" si="1"/>
        <v>#N/A</v>
      </c>
      <c r="O61" s="3" t="str">
        <f t="shared" si="8"/>
        <v/>
      </c>
      <c r="P61" s="3" t="str">
        <f t="shared" si="9"/>
        <v/>
      </c>
      <c r="Q61" t="str">
        <f t="shared" si="15"/>
        <v/>
      </c>
      <c r="S61" s="20" t="str">
        <v/>
      </c>
      <c r="T61" s="20" t="str">
        <f t="shared" si="2"/>
        <v/>
      </c>
      <c r="U61" t="str">
        <f t="shared" si="10"/>
        <v/>
      </c>
      <c r="V61" s="3" t="str">
        <f t="shared" si="18"/>
        <v/>
      </c>
      <c r="W61" s="20" t="str">
        <v/>
      </c>
      <c r="X61" s="20" t="str">
        <f t="shared" si="3"/>
        <v/>
      </c>
      <c r="Y61" t="str">
        <f t="shared" si="11"/>
        <v/>
      </c>
      <c r="AA61" t="str">
        <f t="shared" si="4"/>
        <v/>
      </c>
      <c r="AB61" t="str">
        <f t="shared" si="5"/>
        <v/>
      </c>
      <c r="AF61" s="20"/>
      <c r="AJ61" t="str">
        <f t="shared" si="6"/>
        <v/>
      </c>
      <c r="AK61" t="str">
        <f t="shared" si="16"/>
        <v/>
      </c>
      <c r="AL61" t="str">
        <f t="shared" si="17"/>
        <v/>
      </c>
      <c r="AM61" t="str">
        <f t="shared" si="12"/>
        <v/>
      </c>
      <c r="AN61" t="str">
        <f t="shared" si="13"/>
        <v/>
      </c>
      <c r="AQ61" s="20" t="str">
        <f t="shared" si="19"/>
        <v/>
      </c>
      <c r="AR61" s="3" t="str">
        <f t="shared" si="20"/>
        <v/>
      </c>
      <c r="AS61" s="3" t="str">
        <f t="shared" si="21"/>
        <v/>
      </c>
      <c r="AT61" t="str">
        <f t="shared" si="22"/>
        <v/>
      </c>
    </row>
    <row r="62" spans="1:46" x14ac:dyDescent="0.3">
      <c r="A62" s="7"/>
      <c r="B62" s="14" t="str">
        <f t="shared" si="7"/>
        <v/>
      </c>
      <c r="C62" s="25"/>
      <c r="D62" s="81"/>
      <c r="E62" s="81"/>
      <c r="F62" s="81"/>
      <c r="G62" s="81"/>
      <c r="H62" s="13" t="str" cm="1">
        <f t="array" ref="H62">_xlfn.IFS(AND($E$12="Concentration",E62&lt;&gt;"",G62&lt;&gt;"",C62&lt;&gt;""),"X",AND(OR($E$12="Flow",$E$12="Volume"),D62&lt;&gt;"",F62&lt;&gt;"",C62&lt;&gt;""),"X",AND($E$12="Depth",$E$10&lt;&gt;"",$E$8&lt;&gt;"",D62&lt;&gt;"",F62&lt;&gt;"",C62&lt;&gt;""),"X",AND($E$12="Load",D62&lt;="",E62&lt;&gt;"",F62&lt;&gt;"",G62&lt;&gt;"",C62&lt;&gt;""),"X",AND($E$12="Yield",D62&lt;="",E62&lt;&gt;"",F62&lt;&gt;"",G62&lt;&gt;"",$E$8&lt;&gt;"",$E$10&lt;&gt;"",C62&lt;&gt;""),"X",C62="","",1&gt;0,"")</f>
        <v/>
      </c>
      <c r="I62" s="7"/>
      <c r="J62" s="121" t="str" cm="1">
        <f t="array" ref="J62">_xlfn.IFS(AND($E$12="Concentration",E62&lt;&gt;""),E62,AND(OR($E$12="Volume", $E$12="Flow"),D62&lt;&gt;""),D62,AND($E$12="Load",D62&lt;&gt;"",E62&lt;&gt;""),D62*E62*conv_fact,AND($E$12="Yield",D62&lt;&gt;"",E62&lt;&gt;"", $E$8&lt;&gt;""),D62*E62*conv_fact/$E$8,AND($E$12="Depth",D62&lt;&gt;"",$E$8&lt;&gt;""),D62*conv_fact/$E$8,OR(D62="",E62=""),"")</f>
        <v/>
      </c>
      <c r="K62" s="121" t="str" cm="1">
        <f t="array" ref="K62">_xlfn.IFS(AND($E$12="Concentration",G62&lt;&gt;""),G62,AND(OR($E$12="Volume", $E$12="Flow"),F62&lt;&gt;""),F62,AND($E$12="Load",F62&lt;&gt;"",G62&lt;&gt;""),F62*G62*conv_fact,AND($E$12="Yield",F62&lt;&gt;"",G62&lt;&gt;"", $E$10&lt;&gt;""),F62*G62*conv_fact/$E$10, AND($E$12="Depth",F62&lt;&gt;"",$E$10&lt;&gt;""),F62*conv_fact/$E$10,OR(F62="",G62=""),"")</f>
        <v/>
      </c>
      <c r="L62" s="118" t="e">
        <f t="shared" si="0"/>
        <v>#N/A</v>
      </c>
      <c r="M62" s="118" t="e">
        <f t="shared" si="1"/>
        <v>#N/A</v>
      </c>
      <c r="O62" s="3" t="str">
        <f t="shared" si="8"/>
        <v/>
      </c>
      <c r="P62" s="3" t="str">
        <f t="shared" si="9"/>
        <v/>
      </c>
      <c r="Q62" t="str">
        <f t="shared" si="15"/>
        <v/>
      </c>
      <c r="S62" s="20" t="str">
        <v/>
      </c>
      <c r="T62" s="20" t="str">
        <f t="shared" si="2"/>
        <v/>
      </c>
      <c r="U62" t="str">
        <f t="shared" si="10"/>
        <v/>
      </c>
      <c r="V62" s="3" t="str">
        <f t="shared" si="18"/>
        <v/>
      </c>
      <c r="W62" s="20" t="str">
        <v/>
      </c>
      <c r="X62" s="20" t="str">
        <f t="shared" si="3"/>
        <v/>
      </c>
      <c r="Y62" t="str">
        <f t="shared" si="11"/>
        <v/>
      </c>
      <c r="AA62" t="str">
        <f t="shared" si="4"/>
        <v/>
      </c>
      <c r="AB62" t="str">
        <f t="shared" si="5"/>
        <v/>
      </c>
      <c r="AF62" s="20"/>
      <c r="AJ62" t="str">
        <f t="shared" si="6"/>
        <v/>
      </c>
      <c r="AK62" t="str">
        <f t="shared" si="16"/>
        <v/>
      </c>
      <c r="AL62" t="str">
        <f t="shared" si="17"/>
        <v/>
      </c>
      <c r="AM62" t="str">
        <f t="shared" si="12"/>
        <v/>
      </c>
      <c r="AN62" t="str">
        <f t="shared" si="13"/>
        <v/>
      </c>
      <c r="AQ62" s="20" t="str">
        <f t="shared" si="19"/>
        <v/>
      </c>
      <c r="AR62" s="3" t="str">
        <f t="shared" si="20"/>
        <v/>
      </c>
      <c r="AS62" s="3" t="str">
        <f t="shared" si="21"/>
        <v/>
      </c>
      <c r="AT62" t="str">
        <f t="shared" si="22"/>
        <v/>
      </c>
    </row>
    <row r="63" spans="1:46" x14ac:dyDescent="0.3">
      <c r="A63" s="7"/>
      <c r="B63" s="14" t="str">
        <f t="shared" si="7"/>
        <v/>
      </c>
      <c r="C63" s="25"/>
      <c r="D63" s="81"/>
      <c r="E63" s="81"/>
      <c r="F63" s="81"/>
      <c r="G63" s="81"/>
      <c r="H63" s="13" t="str" cm="1">
        <f t="array" ref="H63">_xlfn.IFS(AND($E$12="Concentration",E63&lt;&gt;"",G63&lt;&gt;"",C63&lt;&gt;""),"X",AND(OR($E$12="Flow",$E$12="Volume"),D63&lt;&gt;"",F63&lt;&gt;"",C63&lt;&gt;""),"X",AND($E$12="Depth",$E$10&lt;&gt;"",$E$8&lt;&gt;"",D63&lt;&gt;"",F63&lt;&gt;"",C63&lt;&gt;""),"X",AND($E$12="Load",D63&lt;="",E63&lt;&gt;"",F63&lt;&gt;"",G63&lt;&gt;"",C63&lt;&gt;""),"X",AND($E$12="Yield",D63&lt;="",E63&lt;&gt;"",F63&lt;&gt;"",G63&lt;&gt;"",$E$8&lt;&gt;"",$E$10&lt;&gt;"",C63&lt;&gt;""),"X",C63="","",1&gt;0,"")</f>
        <v/>
      </c>
      <c r="I63" s="7"/>
      <c r="J63" s="121" t="str" cm="1">
        <f t="array" ref="J63">_xlfn.IFS(AND($E$12="Concentration",E63&lt;&gt;""),E63,AND(OR($E$12="Volume", $E$12="Flow"),D63&lt;&gt;""),D63,AND($E$12="Load",D63&lt;&gt;"",E63&lt;&gt;""),D63*E63*conv_fact,AND($E$12="Yield",D63&lt;&gt;"",E63&lt;&gt;"", $E$8&lt;&gt;""),D63*E63*conv_fact/$E$8,AND($E$12="Depth",D63&lt;&gt;"",$E$8&lt;&gt;""),D63*conv_fact/$E$8,OR(D63="",E63=""),"")</f>
        <v/>
      </c>
      <c r="K63" s="121" t="str" cm="1">
        <f t="array" ref="K63">_xlfn.IFS(AND($E$12="Concentration",G63&lt;&gt;""),G63,AND(OR($E$12="Volume", $E$12="Flow"),F63&lt;&gt;""),F63,AND($E$12="Load",F63&lt;&gt;"",G63&lt;&gt;""),F63*G63*conv_fact,AND($E$12="Yield",F63&lt;&gt;"",G63&lt;&gt;"", $E$10&lt;&gt;""),F63*G63*conv_fact/$E$10, AND($E$12="Depth",F63&lt;&gt;"",$E$10&lt;&gt;""),F63*conv_fact/$E$10,OR(F63="",G63=""),"")</f>
        <v/>
      </c>
      <c r="L63" s="118" t="e">
        <f t="shared" si="0"/>
        <v>#N/A</v>
      </c>
      <c r="M63" s="118" t="e">
        <f t="shared" si="1"/>
        <v>#N/A</v>
      </c>
      <c r="O63" s="3" t="str">
        <f t="shared" si="8"/>
        <v/>
      </c>
      <c r="P63" s="3" t="str">
        <f t="shared" si="9"/>
        <v/>
      </c>
      <c r="Q63" t="str">
        <f t="shared" si="15"/>
        <v/>
      </c>
      <c r="S63" s="20" t="str">
        <v/>
      </c>
      <c r="T63" s="20" t="str">
        <f t="shared" si="2"/>
        <v/>
      </c>
      <c r="U63" t="str">
        <f t="shared" si="10"/>
        <v/>
      </c>
      <c r="V63" s="3" t="str">
        <f t="shared" si="18"/>
        <v/>
      </c>
      <c r="W63" s="20" t="str">
        <v/>
      </c>
      <c r="X63" s="20" t="str">
        <f t="shared" si="3"/>
        <v/>
      </c>
      <c r="Y63" t="str">
        <f t="shared" si="11"/>
        <v/>
      </c>
      <c r="AA63" t="str">
        <f t="shared" si="4"/>
        <v/>
      </c>
      <c r="AB63" t="str">
        <f t="shared" si="5"/>
        <v/>
      </c>
      <c r="AF63" s="20"/>
      <c r="AJ63" t="str">
        <f t="shared" si="6"/>
        <v/>
      </c>
      <c r="AK63" t="str">
        <f t="shared" si="16"/>
        <v/>
      </c>
      <c r="AL63" t="str">
        <f t="shared" si="17"/>
        <v/>
      </c>
      <c r="AM63" t="str">
        <f t="shared" si="12"/>
        <v/>
      </c>
      <c r="AN63" t="str">
        <f t="shared" si="13"/>
        <v/>
      </c>
      <c r="AQ63" s="20" t="str">
        <f t="shared" si="19"/>
        <v/>
      </c>
      <c r="AR63" s="3" t="str">
        <f t="shared" si="20"/>
        <v/>
      </c>
      <c r="AS63" s="3" t="str">
        <f t="shared" si="21"/>
        <v/>
      </c>
      <c r="AT63" t="str">
        <f t="shared" si="22"/>
        <v/>
      </c>
    </row>
    <row r="64" spans="1:46" x14ac:dyDescent="0.3">
      <c r="A64" s="7"/>
      <c r="B64" s="14" t="str">
        <f t="shared" si="7"/>
        <v/>
      </c>
      <c r="C64" s="25"/>
      <c r="D64" s="81"/>
      <c r="E64" s="81"/>
      <c r="F64" s="81"/>
      <c r="G64" s="81"/>
      <c r="H64" s="13" t="str" cm="1">
        <f t="array" ref="H64">_xlfn.IFS(AND($E$12="Concentration",E64&lt;&gt;"",G64&lt;&gt;"",C64&lt;&gt;""),"X",AND(OR($E$12="Flow",$E$12="Volume"),D64&lt;&gt;"",F64&lt;&gt;"",C64&lt;&gt;""),"X",AND($E$12="Depth",$E$10&lt;&gt;"",$E$8&lt;&gt;"",D64&lt;&gt;"",F64&lt;&gt;"",C64&lt;&gt;""),"X",AND($E$12="Load",D64&lt;="",E64&lt;&gt;"",F64&lt;&gt;"",G64&lt;&gt;"",C64&lt;&gt;""),"X",AND($E$12="Yield",D64&lt;="",E64&lt;&gt;"",F64&lt;&gt;"",G64&lt;&gt;"",$E$8&lt;&gt;"",$E$10&lt;&gt;"",C64&lt;&gt;""),"X",C64="","",1&gt;0,"")</f>
        <v/>
      </c>
      <c r="I64" s="7"/>
      <c r="J64" s="121" t="str" cm="1">
        <f t="array" ref="J64">_xlfn.IFS(AND($E$12="Concentration",E64&lt;&gt;""),E64,AND(OR($E$12="Volume", $E$12="Flow"),D64&lt;&gt;""),D64,AND($E$12="Load",D64&lt;&gt;"",E64&lt;&gt;""),D64*E64*conv_fact,AND($E$12="Yield",D64&lt;&gt;"",E64&lt;&gt;"", $E$8&lt;&gt;""),D64*E64*conv_fact/$E$8,AND($E$12="Depth",D64&lt;&gt;"",$E$8&lt;&gt;""),D64*conv_fact/$E$8,OR(D64="",E64=""),"")</f>
        <v/>
      </c>
      <c r="K64" s="121" t="str" cm="1">
        <f t="array" ref="K64">_xlfn.IFS(AND($E$12="Concentration",G64&lt;&gt;""),G64,AND(OR($E$12="Volume", $E$12="Flow"),F64&lt;&gt;""),F64,AND($E$12="Load",F64&lt;&gt;"",G64&lt;&gt;""),F64*G64*conv_fact,AND($E$12="Yield",F64&lt;&gt;"",G64&lt;&gt;"", $E$10&lt;&gt;""),F64*G64*conv_fact/$E$10, AND($E$12="Depth",F64&lt;&gt;"",$E$10&lt;&gt;""),F64*conv_fact/$E$10,OR(F64="",G64=""),"")</f>
        <v/>
      </c>
      <c r="L64" s="118" t="e">
        <f t="shared" si="0"/>
        <v>#N/A</v>
      </c>
      <c r="M64" s="118" t="e">
        <f t="shared" si="1"/>
        <v>#N/A</v>
      </c>
      <c r="O64" s="3" t="str">
        <f t="shared" si="8"/>
        <v/>
      </c>
      <c r="P64" s="3" t="str">
        <f t="shared" si="9"/>
        <v/>
      </c>
      <c r="Q64" t="str">
        <f t="shared" si="15"/>
        <v/>
      </c>
      <c r="S64" s="20" t="str">
        <v/>
      </c>
      <c r="T64" s="20" t="str">
        <f t="shared" si="2"/>
        <v/>
      </c>
      <c r="U64" t="str">
        <f t="shared" si="10"/>
        <v/>
      </c>
      <c r="V64" s="3" t="str">
        <f t="shared" si="18"/>
        <v/>
      </c>
      <c r="W64" s="20" t="str">
        <v/>
      </c>
      <c r="X64" s="20" t="str">
        <f t="shared" si="3"/>
        <v/>
      </c>
      <c r="Y64" t="str">
        <f t="shared" si="11"/>
        <v/>
      </c>
      <c r="AA64" t="str">
        <f t="shared" si="4"/>
        <v/>
      </c>
      <c r="AB64" t="str">
        <f t="shared" si="5"/>
        <v/>
      </c>
      <c r="AF64" s="20"/>
      <c r="AJ64" t="str">
        <f t="shared" si="6"/>
        <v/>
      </c>
      <c r="AK64" t="str">
        <f t="shared" si="16"/>
        <v/>
      </c>
      <c r="AL64" t="str">
        <f t="shared" si="17"/>
        <v/>
      </c>
      <c r="AM64" t="str">
        <f t="shared" si="12"/>
        <v/>
      </c>
      <c r="AN64" t="str">
        <f t="shared" si="13"/>
        <v/>
      </c>
      <c r="AQ64" s="20" t="str">
        <f t="shared" si="19"/>
        <v/>
      </c>
      <c r="AR64" s="3" t="str">
        <f t="shared" si="20"/>
        <v/>
      </c>
      <c r="AS64" s="3" t="str">
        <f t="shared" si="21"/>
        <v/>
      </c>
      <c r="AT64" t="str">
        <f t="shared" si="22"/>
        <v/>
      </c>
    </row>
    <row r="65" spans="1:46" x14ac:dyDescent="0.3">
      <c r="A65" s="7"/>
      <c r="B65" s="14" t="str">
        <f t="shared" si="7"/>
        <v/>
      </c>
      <c r="C65" s="25"/>
      <c r="D65" s="81"/>
      <c r="E65" s="81"/>
      <c r="F65" s="81"/>
      <c r="G65" s="81"/>
      <c r="H65" s="13" t="str" cm="1">
        <f t="array" ref="H65">_xlfn.IFS(AND($E$12="Concentration",E65&lt;&gt;"",G65&lt;&gt;"",C65&lt;&gt;""),"X",AND(OR($E$12="Flow",$E$12="Volume"),D65&lt;&gt;"",F65&lt;&gt;"",C65&lt;&gt;""),"X",AND($E$12="Depth",$E$10&lt;&gt;"",$E$8&lt;&gt;"",D65&lt;&gt;"",F65&lt;&gt;"",C65&lt;&gt;""),"X",AND($E$12="Load",D65&lt;="",E65&lt;&gt;"",F65&lt;&gt;"",G65&lt;&gt;"",C65&lt;&gt;""),"X",AND($E$12="Yield",D65&lt;="",E65&lt;&gt;"",F65&lt;&gt;"",G65&lt;&gt;"",$E$8&lt;&gt;"",$E$10&lt;&gt;"",C65&lt;&gt;""),"X",C65="","",1&gt;0,"")</f>
        <v/>
      </c>
      <c r="I65" s="7"/>
      <c r="J65" s="121" t="str" cm="1">
        <f t="array" ref="J65">_xlfn.IFS(AND($E$12="Concentration",E65&lt;&gt;""),E65,AND(OR($E$12="Volume", $E$12="Flow"),D65&lt;&gt;""),D65,AND($E$12="Load",D65&lt;&gt;"",E65&lt;&gt;""),D65*E65*conv_fact,AND($E$12="Yield",D65&lt;&gt;"",E65&lt;&gt;"", $E$8&lt;&gt;""),D65*E65*conv_fact/$E$8,AND($E$12="Depth",D65&lt;&gt;"",$E$8&lt;&gt;""),D65*conv_fact/$E$8,OR(D65="",E65=""),"")</f>
        <v/>
      </c>
      <c r="K65" s="121" t="str" cm="1">
        <f t="array" ref="K65">_xlfn.IFS(AND($E$12="Concentration",G65&lt;&gt;""),G65,AND(OR($E$12="Volume", $E$12="Flow"),F65&lt;&gt;""),F65,AND($E$12="Load",F65&lt;&gt;"",G65&lt;&gt;""),F65*G65*conv_fact,AND($E$12="Yield",F65&lt;&gt;"",G65&lt;&gt;"", $E$10&lt;&gt;""),F65*G65*conv_fact/$E$10, AND($E$12="Depth",F65&lt;&gt;"",$E$10&lt;&gt;""),F65*conv_fact/$E$10,OR(F65="",G65=""),"")</f>
        <v/>
      </c>
      <c r="L65" s="118" t="e">
        <f t="shared" si="0"/>
        <v>#N/A</v>
      </c>
      <c r="M65" s="118" t="e">
        <f t="shared" si="1"/>
        <v>#N/A</v>
      </c>
      <c r="O65" s="3" t="str">
        <f t="shared" si="8"/>
        <v/>
      </c>
      <c r="P65" s="3" t="str">
        <f t="shared" si="9"/>
        <v/>
      </c>
      <c r="Q65" t="str">
        <f t="shared" si="15"/>
        <v/>
      </c>
      <c r="S65" s="20" t="str">
        <v/>
      </c>
      <c r="T65" s="20" t="str">
        <f t="shared" si="2"/>
        <v/>
      </c>
      <c r="U65" t="str">
        <f t="shared" si="10"/>
        <v/>
      </c>
      <c r="V65" s="3" t="str">
        <f t="shared" si="18"/>
        <v/>
      </c>
      <c r="W65" s="20" t="str">
        <v/>
      </c>
      <c r="X65" s="20" t="str">
        <f t="shared" si="3"/>
        <v/>
      </c>
      <c r="Y65" t="str">
        <f t="shared" si="11"/>
        <v/>
      </c>
      <c r="AA65" t="str">
        <f t="shared" si="4"/>
        <v/>
      </c>
      <c r="AB65" t="str">
        <f t="shared" si="5"/>
        <v/>
      </c>
      <c r="AF65" s="20"/>
      <c r="AJ65" t="str">
        <f t="shared" si="6"/>
        <v/>
      </c>
      <c r="AK65" t="str">
        <f t="shared" si="16"/>
        <v/>
      </c>
      <c r="AL65" t="str">
        <f t="shared" si="17"/>
        <v/>
      </c>
      <c r="AM65" t="str">
        <f t="shared" si="12"/>
        <v/>
      </c>
      <c r="AN65" t="str">
        <f t="shared" si="13"/>
        <v/>
      </c>
      <c r="AQ65" s="20" t="str">
        <f t="shared" si="19"/>
        <v/>
      </c>
      <c r="AR65" s="3" t="str">
        <f t="shared" si="20"/>
        <v/>
      </c>
      <c r="AS65" s="3" t="str">
        <f t="shared" si="21"/>
        <v/>
      </c>
      <c r="AT65" t="str">
        <f t="shared" si="22"/>
        <v/>
      </c>
    </row>
    <row r="66" spans="1:46" x14ac:dyDescent="0.3">
      <c r="A66" s="7"/>
      <c r="B66" s="14" t="str">
        <f t="shared" si="7"/>
        <v/>
      </c>
      <c r="C66" s="25"/>
      <c r="D66" s="81"/>
      <c r="E66" s="81"/>
      <c r="F66" s="81"/>
      <c r="G66" s="81"/>
      <c r="H66" s="13" t="str" cm="1">
        <f t="array" ref="H66">_xlfn.IFS(AND($E$12="Concentration",E66&lt;&gt;"",G66&lt;&gt;"",C66&lt;&gt;""),"X",AND(OR($E$12="Flow",$E$12="Volume"),D66&lt;&gt;"",F66&lt;&gt;"",C66&lt;&gt;""),"X",AND($E$12="Depth",$E$10&lt;&gt;"",$E$8&lt;&gt;"",D66&lt;&gt;"",F66&lt;&gt;"",C66&lt;&gt;""),"X",AND($E$12="Load",D66&lt;="",E66&lt;&gt;"",F66&lt;&gt;"",G66&lt;&gt;"",C66&lt;&gt;""),"X",AND($E$12="Yield",D66&lt;="",E66&lt;&gt;"",F66&lt;&gt;"",G66&lt;&gt;"",$E$8&lt;&gt;"",$E$10&lt;&gt;"",C66&lt;&gt;""),"X",C66="","",1&gt;0,"")</f>
        <v/>
      </c>
      <c r="I66" s="7"/>
      <c r="J66" s="121" t="str" cm="1">
        <f t="array" ref="J66">_xlfn.IFS(AND($E$12="Concentration",E66&lt;&gt;""),E66,AND(OR($E$12="Volume", $E$12="Flow"),D66&lt;&gt;""),D66,AND($E$12="Load",D66&lt;&gt;"",E66&lt;&gt;""),D66*E66*conv_fact,AND($E$12="Yield",D66&lt;&gt;"",E66&lt;&gt;"", $E$8&lt;&gt;""),D66*E66*conv_fact/$E$8,AND($E$12="Depth",D66&lt;&gt;"",$E$8&lt;&gt;""),D66*conv_fact/$E$8,OR(D66="",E66=""),"")</f>
        <v/>
      </c>
      <c r="K66" s="121" t="str" cm="1">
        <f t="array" ref="K66">_xlfn.IFS(AND($E$12="Concentration",G66&lt;&gt;""),G66,AND(OR($E$12="Volume", $E$12="Flow"),F66&lt;&gt;""),F66,AND($E$12="Load",F66&lt;&gt;"",G66&lt;&gt;""),F66*G66*conv_fact,AND($E$12="Yield",F66&lt;&gt;"",G66&lt;&gt;"", $E$10&lt;&gt;""),F66*G66*conv_fact/$E$10, AND($E$12="Depth",F66&lt;&gt;"",$E$10&lt;&gt;""),F66*conv_fact/$E$10,OR(F66="",G66=""),"")</f>
        <v/>
      </c>
      <c r="L66" s="118" t="e">
        <f t="shared" si="0"/>
        <v>#N/A</v>
      </c>
      <c r="M66" s="118" t="e">
        <f t="shared" si="1"/>
        <v>#N/A</v>
      </c>
      <c r="O66" s="3" t="str">
        <f t="shared" si="8"/>
        <v/>
      </c>
      <c r="P66" s="3" t="str">
        <f t="shared" si="9"/>
        <v/>
      </c>
      <c r="Q66" t="str">
        <f t="shared" si="15"/>
        <v/>
      </c>
      <c r="S66" s="20" t="str">
        <v/>
      </c>
      <c r="T66" s="20" t="str">
        <f t="shared" si="2"/>
        <v/>
      </c>
      <c r="U66" t="str">
        <f t="shared" si="10"/>
        <v/>
      </c>
      <c r="V66" s="3" t="str">
        <f t="shared" si="18"/>
        <v/>
      </c>
      <c r="W66" s="20" t="str">
        <v/>
      </c>
      <c r="X66" s="20" t="str">
        <f t="shared" si="3"/>
        <v/>
      </c>
      <c r="Y66" t="str">
        <f t="shared" si="11"/>
        <v/>
      </c>
      <c r="AA66" t="str">
        <f t="shared" si="4"/>
        <v/>
      </c>
      <c r="AB66" t="str">
        <f t="shared" si="5"/>
        <v/>
      </c>
      <c r="AF66" s="20"/>
      <c r="AJ66" t="str">
        <f t="shared" si="6"/>
        <v/>
      </c>
      <c r="AK66" t="str">
        <f t="shared" si="16"/>
        <v/>
      </c>
      <c r="AL66" t="str">
        <f t="shared" si="17"/>
        <v/>
      </c>
      <c r="AM66" t="str">
        <f t="shared" si="12"/>
        <v/>
      </c>
      <c r="AN66" t="str">
        <f t="shared" si="13"/>
        <v/>
      </c>
      <c r="AQ66" s="20" t="str">
        <f t="shared" si="19"/>
        <v/>
      </c>
      <c r="AR66" s="3" t="str">
        <f t="shared" si="20"/>
        <v/>
      </c>
      <c r="AS66" s="3" t="str">
        <f t="shared" si="21"/>
        <v/>
      </c>
      <c r="AT66" t="str">
        <f t="shared" si="22"/>
        <v/>
      </c>
    </row>
    <row r="67" spans="1:46" x14ac:dyDescent="0.3">
      <c r="A67" s="7"/>
      <c r="B67" s="14" t="str">
        <f t="shared" si="7"/>
        <v/>
      </c>
      <c r="C67" s="25"/>
      <c r="D67" s="81"/>
      <c r="E67" s="81"/>
      <c r="F67" s="81"/>
      <c r="G67" s="81"/>
      <c r="H67" s="13" t="str" cm="1">
        <f t="array" ref="H67">_xlfn.IFS(AND($E$12="Concentration",E67&lt;&gt;"",G67&lt;&gt;"",C67&lt;&gt;""),"X",AND(OR($E$12="Flow",$E$12="Volume"),D67&lt;&gt;"",F67&lt;&gt;"",C67&lt;&gt;""),"X",AND($E$12="Depth",$E$10&lt;&gt;"",$E$8&lt;&gt;"",D67&lt;&gt;"",F67&lt;&gt;"",C67&lt;&gt;""),"X",AND($E$12="Load",D67&lt;="",E67&lt;&gt;"",F67&lt;&gt;"",G67&lt;&gt;"",C67&lt;&gt;""),"X",AND($E$12="Yield",D67&lt;="",E67&lt;&gt;"",F67&lt;&gt;"",G67&lt;&gt;"",$E$8&lt;&gt;"",$E$10&lt;&gt;"",C67&lt;&gt;""),"X",C67="","",1&gt;0,"")</f>
        <v/>
      </c>
      <c r="I67" s="7"/>
      <c r="J67" s="121" t="str" cm="1">
        <f t="array" ref="J67">_xlfn.IFS(AND($E$12="Concentration",E67&lt;&gt;""),E67,AND(OR($E$12="Volume", $E$12="Flow"),D67&lt;&gt;""),D67,AND($E$12="Load",D67&lt;&gt;"",E67&lt;&gt;""),D67*E67*conv_fact,AND($E$12="Yield",D67&lt;&gt;"",E67&lt;&gt;"", $E$8&lt;&gt;""),D67*E67*conv_fact/$E$8,AND($E$12="Depth",D67&lt;&gt;"",$E$8&lt;&gt;""),D67*conv_fact/$E$8,OR(D67="",E67=""),"")</f>
        <v/>
      </c>
      <c r="K67" s="121" t="str" cm="1">
        <f t="array" ref="K67">_xlfn.IFS(AND($E$12="Concentration",G67&lt;&gt;""),G67,AND(OR($E$12="Volume", $E$12="Flow"),F67&lt;&gt;""),F67,AND($E$12="Load",F67&lt;&gt;"",G67&lt;&gt;""),F67*G67*conv_fact,AND($E$12="Yield",F67&lt;&gt;"",G67&lt;&gt;"", $E$10&lt;&gt;""),F67*G67*conv_fact/$E$10, AND($E$12="Depth",F67&lt;&gt;"",$E$10&lt;&gt;""),F67*conv_fact/$E$10,OR(F67="",G67=""),"")</f>
        <v/>
      </c>
      <c r="L67" s="118" t="e">
        <f t="shared" ref="L67:L98" si="23">IF(J67&lt;&gt;"",J67,NA())</f>
        <v>#N/A</v>
      </c>
      <c r="M67" s="118" t="e">
        <f t="shared" ref="M67:M98" si="24">IF(K67&lt;&gt;"",K67,NA())</f>
        <v>#N/A</v>
      </c>
      <c r="O67" s="3" t="str">
        <f t="shared" ref="O67:O98" si="25">IF(B67&lt;&gt;"", _xlfn.NORM.S.INV((B67-0.375)/(cnt+0.25)), "")</f>
        <v/>
      </c>
      <c r="P67" s="3" t="str">
        <f t="shared" si="9"/>
        <v/>
      </c>
      <c r="Q67" t="str">
        <f t="shared" si="15"/>
        <v/>
      </c>
      <c r="S67" s="20" t="str">
        <v/>
      </c>
      <c r="T67" s="20" t="str">
        <f t="shared" ref="T67:T98" si="26">IF(B67&lt;&gt;"",(S67-AVERAGE(CT_sort))^2, "")</f>
        <v/>
      </c>
      <c r="U67" t="str">
        <f t="shared" si="10"/>
        <v/>
      </c>
      <c r="V67" s="3" t="str">
        <f t="shared" si="18"/>
        <v/>
      </c>
      <c r="W67" s="20" t="str">
        <v/>
      </c>
      <c r="X67" s="20" t="str">
        <f t="shared" ref="X67:X98" si="27">IF(B67&lt;&gt;"",(W67-AVERAGE(TX_sort))^2, "")</f>
        <v/>
      </c>
      <c r="Y67" t="str">
        <f t="shared" si="11"/>
        <v/>
      </c>
      <c r="AA67" t="str">
        <f t="shared" ref="AA67:AA98" si="28">IF(B67="", "", _xlfn.RANK.EQ(J67,$J$35:$K$119,1)+(COUNT($J$35:$K$119)+1-_xlfn.RANK.EQ(J67,$J$35:$K$119,1)-_xlfn.RANK.EQ(J67,$J$35:$K$119,0))/2)</f>
        <v/>
      </c>
      <c r="AB67" t="str">
        <f t="shared" ref="AB67:AB98" si="29">IF(B67="", "", _xlfn.RANK.EQ(K67,$J$35:$K$119,1)+(COUNT($J$35:$K$119)+1-_xlfn.RANK.EQ(K67,$J$35:$K$119,1)-_xlfn.RANK.EQ(K67,$J$35:$K$119,0))/2)</f>
        <v/>
      </c>
      <c r="AF67" s="20"/>
      <c r="AJ67" t="str">
        <f t="shared" ref="AJ67:AJ98" si="30">IF(B67="", "", J67-K67)</f>
        <v/>
      </c>
      <c r="AK67" t="str">
        <f t="shared" si="16"/>
        <v/>
      </c>
      <c r="AL67" t="str">
        <f t="shared" si="17"/>
        <v/>
      </c>
      <c r="AM67" t="str">
        <f t="shared" si="12"/>
        <v/>
      </c>
      <c r="AN67" t="str">
        <f t="shared" si="13"/>
        <v/>
      </c>
      <c r="AQ67" s="20" t="str">
        <f t="shared" si="19"/>
        <v/>
      </c>
      <c r="AR67" s="3" t="str">
        <f t="shared" si="20"/>
        <v/>
      </c>
      <c r="AS67" s="3" t="str">
        <f t="shared" si="21"/>
        <v/>
      </c>
      <c r="AT67" t="str">
        <f t="shared" si="22"/>
        <v/>
      </c>
    </row>
    <row r="68" spans="1:46" x14ac:dyDescent="0.3">
      <c r="A68" s="7"/>
      <c r="B68" s="14" t="str">
        <f t="shared" si="7"/>
        <v/>
      </c>
      <c r="C68" s="25"/>
      <c r="D68" s="81"/>
      <c r="E68" s="81"/>
      <c r="F68" s="81"/>
      <c r="G68" s="81"/>
      <c r="H68" s="13" t="str" cm="1">
        <f t="array" ref="H68">_xlfn.IFS(AND($E$12="Concentration",E68&lt;&gt;"",G68&lt;&gt;"",C68&lt;&gt;""),"X",AND(OR($E$12="Flow",$E$12="Volume"),D68&lt;&gt;"",F68&lt;&gt;"",C68&lt;&gt;""),"X",AND($E$12="Depth",$E$10&lt;&gt;"",$E$8&lt;&gt;"",D68&lt;&gt;"",F68&lt;&gt;"",C68&lt;&gt;""),"X",AND($E$12="Load",D68&lt;="",E68&lt;&gt;"",F68&lt;&gt;"",G68&lt;&gt;"",C68&lt;&gt;""),"X",AND($E$12="Yield",D68&lt;="",E68&lt;&gt;"",F68&lt;&gt;"",G68&lt;&gt;"",$E$8&lt;&gt;"",$E$10&lt;&gt;"",C68&lt;&gt;""),"X",C68="","",1&gt;0,"")</f>
        <v/>
      </c>
      <c r="I68" s="7"/>
      <c r="J68" s="121" t="str" cm="1">
        <f t="array" ref="J68">_xlfn.IFS(AND($E$12="Concentration",E68&lt;&gt;""),E68,AND(OR($E$12="Volume", $E$12="Flow"),D68&lt;&gt;""),D68,AND($E$12="Load",D68&lt;&gt;"",E68&lt;&gt;""),D68*E68*conv_fact,AND($E$12="Yield",D68&lt;&gt;"",E68&lt;&gt;"", $E$8&lt;&gt;""),D68*E68*conv_fact/$E$8,AND($E$12="Depth",D68&lt;&gt;"",$E$8&lt;&gt;""),D68*conv_fact/$E$8,OR(D68="",E68=""),"")</f>
        <v/>
      </c>
      <c r="K68" s="121" t="str" cm="1">
        <f t="array" ref="K68">_xlfn.IFS(AND($E$12="Concentration",G68&lt;&gt;""),G68,AND(OR($E$12="Volume", $E$12="Flow"),F68&lt;&gt;""),F68,AND($E$12="Load",F68&lt;&gt;"",G68&lt;&gt;""),F68*G68*conv_fact,AND($E$12="Yield",F68&lt;&gt;"",G68&lt;&gt;"", $E$10&lt;&gt;""),F68*G68*conv_fact/$E$10, AND($E$12="Depth",F68&lt;&gt;"",$E$10&lt;&gt;""),F68*conv_fact/$E$10,OR(F68="",G68=""),"")</f>
        <v/>
      </c>
      <c r="L68" s="118" t="e">
        <f t="shared" si="23"/>
        <v>#N/A</v>
      </c>
      <c r="M68" s="118" t="e">
        <f t="shared" si="24"/>
        <v>#N/A</v>
      </c>
      <c r="O68" s="3" t="str">
        <f t="shared" si="25"/>
        <v/>
      </c>
      <c r="P68" s="3" t="str">
        <f t="shared" si="9"/>
        <v/>
      </c>
      <c r="Q68" t="str">
        <f t="shared" si="15"/>
        <v/>
      </c>
      <c r="S68" s="20" t="str">
        <v/>
      </c>
      <c r="T68" s="20" t="str">
        <f t="shared" si="26"/>
        <v/>
      </c>
      <c r="U68" t="str">
        <f t="shared" si="10"/>
        <v/>
      </c>
      <c r="V68" s="3" t="str">
        <f t="shared" si="18"/>
        <v/>
      </c>
      <c r="W68" s="20" t="str">
        <v/>
      </c>
      <c r="X68" s="20" t="str">
        <f t="shared" si="27"/>
        <v/>
      </c>
      <c r="Y68" t="str">
        <f t="shared" si="11"/>
        <v/>
      </c>
      <c r="AA68" t="str">
        <f t="shared" si="28"/>
        <v/>
      </c>
      <c r="AB68" t="str">
        <f t="shared" si="29"/>
        <v/>
      </c>
      <c r="AF68" s="20"/>
      <c r="AJ68" t="str">
        <f t="shared" si="30"/>
        <v/>
      </c>
      <c r="AK68" t="str">
        <f t="shared" si="16"/>
        <v/>
      </c>
      <c r="AL68" t="str">
        <f t="shared" si="17"/>
        <v/>
      </c>
      <c r="AM68" t="str">
        <f t="shared" si="12"/>
        <v/>
      </c>
      <c r="AN68" t="str">
        <f t="shared" si="13"/>
        <v/>
      </c>
      <c r="AQ68" s="20" t="str">
        <f t="shared" si="19"/>
        <v/>
      </c>
      <c r="AR68" s="3" t="str">
        <f t="shared" si="20"/>
        <v/>
      </c>
      <c r="AS68" s="3" t="str">
        <f t="shared" si="21"/>
        <v/>
      </c>
      <c r="AT68" t="str">
        <f t="shared" si="22"/>
        <v/>
      </c>
    </row>
    <row r="69" spans="1:46" x14ac:dyDescent="0.3">
      <c r="A69" s="7"/>
      <c r="B69" s="14" t="str">
        <f t="shared" si="7"/>
        <v/>
      </c>
      <c r="C69" s="25"/>
      <c r="D69" s="81"/>
      <c r="E69" s="81"/>
      <c r="F69" s="81"/>
      <c r="G69" s="81"/>
      <c r="H69" s="13" t="str" cm="1">
        <f t="array" ref="H69">_xlfn.IFS(AND($E$12="Concentration",E69&lt;&gt;"",G69&lt;&gt;"",C69&lt;&gt;""),"X",AND(OR($E$12="Flow",$E$12="Volume"),D69&lt;&gt;"",F69&lt;&gt;"",C69&lt;&gt;""),"X",AND($E$12="Depth",$E$10&lt;&gt;"",$E$8&lt;&gt;"",D69&lt;&gt;"",F69&lt;&gt;"",C69&lt;&gt;""),"X",AND($E$12="Load",D69&lt;="",E69&lt;&gt;"",F69&lt;&gt;"",G69&lt;&gt;"",C69&lt;&gt;""),"X",AND($E$12="Yield",D69&lt;="",E69&lt;&gt;"",F69&lt;&gt;"",G69&lt;&gt;"",$E$8&lt;&gt;"",$E$10&lt;&gt;"",C69&lt;&gt;""),"X",C69="","",1&gt;0,"")</f>
        <v/>
      </c>
      <c r="I69" s="7"/>
      <c r="J69" s="121" t="str" cm="1">
        <f t="array" ref="J69">_xlfn.IFS(AND($E$12="Concentration",E69&lt;&gt;""),E69,AND(OR($E$12="Volume", $E$12="Flow"),D69&lt;&gt;""),D69,AND($E$12="Load",D69&lt;&gt;"",E69&lt;&gt;""),D69*E69*conv_fact,AND($E$12="Yield",D69&lt;&gt;"",E69&lt;&gt;"", $E$8&lt;&gt;""),D69*E69*conv_fact/$E$8,AND($E$12="Depth",D69&lt;&gt;"",$E$8&lt;&gt;""),D69*conv_fact/$E$8,OR(D69="",E69=""),"")</f>
        <v/>
      </c>
      <c r="K69" s="121" t="str" cm="1">
        <f t="array" ref="K69">_xlfn.IFS(AND($E$12="Concentration",G69&lt;&gt;""),G69,AND(OR($E$12="Volume", $E$12="Flow"),F69&lt;&gt;""),F69,AND($E$12="Load",F69&lt;&gt;"",G69&lt;&gt;""),F69*G69*conv_fact,AND($E$12="Yield",F69&lt;&gt;"",G69&lt;&gt;"", $E$10&lt;&gt;""),F69*G69*conv_fact/$E$10, AND($E$12="Depth",F69&lt;&gt;"",$E$10&lt;&gt;""),F69*conv_fact/$E$10,OR(F69="",G69=""),"")</f>
        <v/>
      </c>
      <c r="L69" s="118" t="e">
        <f t="shared" si="23"/>
        <v>#N/A</v>
      </c>
      <c r="M69" s="118" t="e">
        <f t="shared" si="24"/>
        <v>#N/A</v>
      </c>
      <c r="O69" s="3" t="str">
        <f t="shared" si="25"/>
        <v/>
      </c>
      <c r="P69" s="3" t="str">
        <f t="shared" si="9"/>
        <v/>
      </c>
      <c r="Q69" t="str">
        <f t="shared" ref="Q69:Q100" si="31">IF(B69="", "", IF(B69=cnt,P69+0.221157*(1/SQRT(cnt))-0.147981*(1/SQRT(cnt))^2-2.07119*(1/SQRT(cnt))^3+4.434685*(1/SQRT(cnt))^4-2.706056*(1/SQRT(cnt))^5, IF(B69=(cnt-1),P69+0.042981*(1/SQRT(cnt))-0.293762*(1/SQRT(cnt))^2-1.752461*(1/SQRT(cnt))^3+5.682633*(1/SQRT(cnt))^4-3.582663*(1/SQRT(cnt))^5,O69/SQRT($P$23))))</f>
        <v/>
      </c>
      <c r="S69" s="20" t="str">
        <v/>
      </c>
      <c r="T69" s="20" t="str">
        <f t="shared" si="26"/>
        <v/>
      </c>
      <c r="U69" t="str">
        <f t="shared" si="10"/>
        <v/>
      </c>
      <c r="V69" s="3" t="str">
        <f t="shared" si="18"/>
        <v/>
      </c>
      <c r="W69" s="20" t="str">
        <v/>
      </c>
      <c r="X69" s="20" t="str">
        <f t="shared" si="27"/>
        <v/>
      </c>
      <c r="Y69" t="str">
        <f t="shared" si="11"/>
        <v/>
      </c>
      <c r="AA69" t="str">
        <f t="shared" si="28"/>
        <v/>
      </c>
      <c r="AB69" t="str">
        <f t="shared" si="29"/>
        <v/>
      </c>
      <c r="AF69" s="20"/>
      <c r="AJ69" t="str">
        <f t="shared" si="30"/>
        <v/>
      </c>
      <c r="AK69" t="str">
        <f t="shared" si="16"/>
        <v/>
      </c>
      <c r="AL69" t="str">
        <f t="shared" si="17"/>
        <v/>
      </c>
      <c r="AM69" t="str">
        <f t="shared" si="12"/>
        <v/>
      </c>
      <c r="AN69" t="str">
        <f t="shared" si="13"/>
        <v/>
      </c>
      <c r="AQ69" s="20" t="str">
        <f t="shared" si="19"/>
        <v/>
      </c>
      <c r="AR69" s="3" t="str">
        <f t="shared" si="20"/>
        <v/>
      </c>
      <c r="AS69" s="3" t="str">
        <f t="shared" si="21"/>
        <v/>
      </c>
      <c r="AT69" t="str">
        <f t="shared" si="22"/>
        <v/>
      </c>
    </row>
    <row r="70" spans="1:46" x14ac:dyDescent="0.3">
      <c r="A70" s="7"/>
      <c r="B70" s="14" t="str">
        <f t="shared" si="7"/>
        <v/>
      </c>
      <c r="C70" s="25"/>
      <c r="D70" s="81"/>
      <c r="E70" s="81"/>
      <c r="F70" s="81"/>
      <c r="G70" s="81"/>
      <c r="H70" s="13" t="str" cm="1">
        <f t="array" ref="H70">_xlfn.IFS(AND($E$12="Concentration",E70&lt;&gt;"",G70&lt;&gt;"",C70&lt;&gt;""),"X",AND(OR($E$12="Flow",$E$12="Volume"),D70&lt;&gt;"",F70&lt;&gt;"",C70&lt;&gt;""),"X",AND($E$12="Depth",$E$10&lt;&gt;"",$E$8&lt;&gt;"",D70&lt;&gt;"",F70&lt;&gt;"",C70&lt;&gt;""),"X",AND($E$12="Load",D70&lt;="",E70&lt;&gt;"",F70&lt;&gt;"",G70&lt;&gt;"",C70&lt;&gt;""),"X",AND($E$12="Yield",D70&lt;="",E70&lt;&gt;"",F70&lt;&gt;"",G70&lt;&gt;"",$E$8&lt;&gt;"",$E$10&lt;&gt;"",C70&lt;&gt;""),"X",C70="","",1&gt;0,"")</f>
        <v/>
      </c>
      <c r="I70" s="7"/>
      <c r="J70" s="121" t="str" cm="1">
        <f t="array" ref="J70">_xlfn.IFS(AND($E$12="Concentration",E70&lt;&gt;""),E70,AND(OR($E$12="Volume", $E$12="Flow"),D70&lt;&gt;""),D70,AND($E$12="Load",D70&lt;&gt;"",E70&lt;&gt;""),D70*E70*conv_fact,AND($E$12="Yield",D70&lt;&gt;"",E70&lt;&gt;"", $E$8&lt;&gt;""),D70*E70*conv_fact/$E$8,AND($E$12="Depth",D70&lt;&gt;"",$E$8&lt;&gt;""),D70*conv_fact/$E$8,OR(D70="",E70=""),"")</f>
        <v/>
      </c>
      <c r="K70" s="121" t="str" cm="1">
        <f t="array" ref="K70">_xlfn.IFS(AND($E$12="Concentration",G70&lt;&gt;""),G70,AND(OR($E$12="Volume", $E$12="Flow"),F70&lt;&gt;""),F70,AND($E$12="Load",F70&lt;&gt;"",G70&lt;&gt;""),F70*G70*conv_fact,AND($E$12="Yield",F70&lt;&gt;"",G70&lt;&gt;"", $E$10&lt;&gt;""),F70*G70*conv_fact/$E$10, AND($E$12="Depth",F70&lt;&gt;"",$E$10&lt;&gt;""),F70*conv_fact/$E$10,OR(F70="",G70=""),"")</f>
        <v/>
      </c>
      <c r="L70" s="118" t="e">
        <f t="shared" si="23"/>
        <v>#N/A</v>
      </c>
      <c r="M70" s="118" t="e">
        <f t="shared" si="24"/>
        <v>#N/A</v>
      </c>
      <c r="O70" s="3" t="str">
        <f t="shared" si="25"/>
        <v/>
      </c>
      <c r="P70" s="3" t="str">
        <f t="shared" si="9"/>
        <v/>
      </c>
      <c r="Q70" t="str">
        <f t="shared" si="31"/>
        <v/>
      </c>
      <c r="S70" s="20" t="str">
        <v/>
      </c>
      <c r="T70" s="20" t="str">
        <f t="shared" si="26"/>
        <v/>
      </c>
      <c r="U70" t="str">
        <f t="shared" si="10"/>
        <v/>
      </c>
      <c r="V70" s="3" t="str">
        <f t="shared" si="18"/>
        <v/>
      </c>
      <c r="W70" s="20" t="str">
        <v/>
      </c>
      <c r="X70" s="20" t="str">
        <f t="shared" si="27"/>
        <v/>
      </c>
      <c r="Y70" t="str">
        <f t="shared" si="11"/>
        <v/>
      </c>
      <c r="AA70" t="str">
        <f t="shared" si="28"/>
        <v/>
      </c>
      <c r="AB70" t="str">
        <f t="shared" si="29"/>
        <v/>
      </c>
      <c r="AF70" s="20"/>
      <c r="AJ70" t="str">
        <f t="shared" si="30"/>
        <v/>
      </c>
      <c r="AK70" t="str">
        <f t="shared" si="16"/>
        <v/>
      </c>
      <c r="AL70" t="str">
        <f t="shared" si="17"/>
        <v/>
      </c>
      <c r="AM70" t="str">
        <f t="shared" si="12"/>
        <v/>
      </c>
      <c r="AN70" t="str">
        <f t="shared" si="13"/>
        <v/>
      </c>
      <c r="AQ70" s="20" t="str">
        <f t="shared" si="19"/>
        <v/>
      </c>
      <c r="AR70" s="3" t="str">
        <f t="shared" si="20"/>
        <v/>
      </c>
      <c r="AS70" s="3" t="str">
        <f t="shared" si="21"/>
        <v/>
      </c>
      <c r="AT70" t="str">
        <f t="shared" si="22"/>
        <v/>
      </c>
    </row>
    <row r="71" spans="1:46" x14ac:dyDescent="0.3">
      <c r="A71" s="7"/>
      <c r="B71" s="14" t="str">
        <f t="shared" si="7"/>
        <v/>
      </c>
      <c r="C71" s="25"/>
      <c r="D71" s="81"/>
      <c r="E71" s="81"/>
      <c r="F71" s="81"/>
      <c r="G71" s="81"/>
      <c r="H71" s="13" t="str" cm="1">
        <f t="array" ref="H71">_xlfn.IFS(AND($E$12="Concentration",E71&lt;&gt;"",G71&lt;&gt;"",C71&lt;&gt;""),"X",AND(OR($E$12="Flow",$E$12="Volume"),D71&lt;&gt;"",F71&lt;&gt;"",C71&lt;&gt;""),"X",AND($E$12="Depth",$E$10&lt;&gt;"",$E$8&lt;&gt;"",D71&lt;&gt;"",F71&lt;&gt;"",C71&lt;&gt;""),"X",AND($E$12="Load",D71&lt;="",E71&lt;&gt;"",F71&lt;&gt;"",G71&lt;&gt;"",C71&lt;&gt;""),"X",AND($E$12="Yield",D71&lt;="",E71&lt;&gt;"",F71&lt;&gt;"",G71&lt;&gt;"",$E$8&lt;&gt;"",$E$10&lt;&gt;"",C71&lt;&gt;""),"X",C71="","",1&gt;0,"")</f>
        <v/>
      </c>
      <c r="I71" s="7"/>
      <c r="J71" s="121" t="str" cm="1">
        <f t="array" ref="J71">_xlfn.IFS(AND($E$12="Concentration",E71&lt;&gt;""),E71,AND(OR($E$12="Volume", $E$12="Flow"),D71&lt;&gt;""),D71,AND($E$12="Load",D71&lt;&gt;"",E71&lt;&gt;""),D71*E71*conv_fact,AND($E$12="Yield",D71&lt;&gt;"",E71&lt;&gt;"", $E$8&lt;&gt;""),D71*E71*conv_fact/$E$8,AND($E$12="Depth",D71&lt;&gt;"",$E$8&lt;&gt;""),D71*conv_fact/$E$8,OR(D71="",E71=""),"")</f>
        <v/>
      </c>
      <c r="K71" s="121" t="str" cm="1">
        <f t="array" ref="K71">_xlfn.IFS(AND($E$12="Concentration",G71&lt;&gt;""),G71,AND(OR($E$12="Volume", $E$12="Flow"),F71&lt;&gt;""),F71,AND($E$12="Load",F71&lt;&gt;"",G71&lt;&gt;""),F71*G71*conv_fact,AND($E$12="Yield",F71&lt;&gt;"",G71&lt;&gt;"", $E$10&lt;&gt;""),F71*G71*conv_fact/$E$10, AND($E$12="Depth",F71&lt;&gt;"",$E$10&lt;&gt;""),F71*conv_fact/$E$10,OR(F71="",G71=""),"")</f>
        <v/>
      </c>
      <c r="L71" s="118" t="e">
        <f t="shared" si="23"/>
        <v>#N/A</v>
      </c>
      <c r="M71" s="118" t="e">
        <f t="shared" si="24"/>
        <v>#N/A</v>
      </c>
      <c r="O71" s="3" t="str">
        <f t="shared" si="25"/>
        <v/>
      </c>
      <c r="P71" s="3" t="str">
        <f t="shared" si="9"/>
        <v/>
      </c>
      <c r="Q71" t="str">
        <f t="shared" si="31"/>
        <v/>
      </c>
      <c r="S71" s="20" t="str">
        <v/>
      </c>
      <c r="T71" s="20" t="str">
        <f t="shared" si="26"/>
        <v/>
      </c>
      <c r="U71" t="str">
        <f t="shared" si="10"/>
        <v/>
      </c>
      <c r="V71" s="3" t="str">
        <f t="shared" si="18"/>
        <v/>
      </c>
      <c r="W71" s="20" t="str">
        <v/>
      </c>
      <c r="X71" s="20" t="str">
        <f t="shared" si="27"/>
        <v/>
      </c>
      <c r="Y71" t="str">
        <f t="shared" si="11"/>
        <v/>
      </c>
      <c r="AA71" t="str">
        <f t="shared" si="28"/>
        <v/>
      </c>
      <c r="AB71" t="str">
        <f t="shared" si="29"/>
        <v/>
      </c>
      <c r="AF71" s="20"/>
      <c r="AJ71" t="str">
        <f t="shared" si="30"/>
        <v/>
      </c>
      <c r="AK71" t="str">
        <f t="shared" si="16"/>
        <v/>
      </c>
      <c r="AL71" t="str">
        <f t="shared" si="17"/>
        <v/>
      </c>
      <c r="AM71" t="str">
        <f t="shared" si="12"/>
        <v/>
      </c>
      <c r="AN71" t="str">
        <f t="shared" si="13"/>
        <v/>
      </c>
      <c r="AQ71" s="20" t="str">
        <f t="shared" si="19"/>
        <v/>
      </c>
      <c r="AR71" s="3" t="str">
        <f t="shared" si="20"/>
        <v/>
      </c>
      <c r="AS71" s="3" t="str">
        <f t="shared" si="21"/>
        <v/>
      </c>
      <c r="AT71" t="str">
        <f t="shared" si="22"/>
        <v/>
      </c>
    </row>
    <row r="72" spans="1:46" x14ac:dyDescent="0.3">
      <c r="A72" s="7"/>
      <c r="B72" s="14" t="str">
        <f t="shared" si="7"/>
        <v/>
      </c>
      <c r="C72" s="25"/>
      <c r="D72" s="81"/>
      <c r="E72" s="81"/>
      <c r="F72" s="81"/>
      <c r="G72" s="81"/>
      <c r="H72" s="13" t="str" cm="1">
        <f t="array" ref="H72">_xlfn.IFS(AND($E$12="Concentration",E72&lt;&gt;"",G72&lt;&gt;"",C72&lt;&gt;""),"X",AND(OR($E$12="Flow",$E$12="Volume"),D72&lt;&gt;"",F72&lt;&gt;"",C72&lt;&gt;""),"X",AND($E$12="Depth",$E$10&lt;&gt;"",$E$8&lt;&gt;"",D72&lt;&gt;"",F72&lt;&gt;"",C72&lt;&gt;""),"X",AND($E$12="Load",D72&lt;="",E72&lt;&gt;"",F72&lt;&gt;"",G72&lt;&gt;"",C72&lt;&gt;""),"X",AND($E$12="Yield",D72&lt;="",E72&lt;&gt;"",F72&lt;&gt;"",G72&lt;&gt;"",$E$8&lt;&gt;"",$E$10&lt;&gt;"",C72&lt;&gt;""),"X",C72="","",1&gt;0,"")</f>
        <v/>
      </c>
      <c r="I72" s="7"/>
      <c r="J72" s="121" t="str" cm="1">
        <f t="array" ref="J72">_xlfn.IFS(AND($E$12="Concentration",E72&lt;&gt;""),E72,AND(OR($E$12="Volume", $E$12="Flow"),D72&lt;&gt;""),D72,AND($E$12="Load",D72&lt;&gt;"",E72&lt;&gt;""),D72*E72*conv_fact,AND($E$12="Yield",D72&lt;&gt;"",E72&lt;&gt;"", $E$8&lt;&gt;""),D72*E72*conv_fact/$E$8,AND($E$12="Depth",D72&lt;&gt;"",$E$8&lt;&gt;""),D72*conv_fact/$E$8,OR(D72="",E72=""),"")</f>
        <v/>
      </c>
      <c r="K72" s="121" t="str" cm="1">
        <f t="array" ref="K72">_xlfn.IFS(AND($E$12="Concentration",G72&lt;&gt;""),G72,AND(OR($E$12="Volume", $E$12="Flow"),F72&lt;&gt;""),F72,AND($E$12="Load",F72&lt;&gt;"",G72&lt;&gt;""),F72*G72*conv_fact,AND($E$12="Yield",F72&lt;&gt;"",G72&lt;&gt;"", $E$10&lt;&gt;""),F72*G72*conv_fact/$E$10, AND($E$12="Depth",F72&lt;&gt;"",$E$10&lt;&gt;""),F72*conv_fact/$E$10,OR(F72="",G72=""),"")</f>
        <v/>
      </c>
      <c r="L72" s="118" t="e">
        <f t="shared" si="23"/>
        <v>#N/A</v>
      </c>
      <c r="M72" s="118" t="e">
        <f t="shared" si="24"/>
        <v>#N/A</v>
      </c>
      <c r="O72" s="3" t="str">
        <f t="shared" si="25"/>
        <v/>
      </c>
      <c r="P72" s="3" t="str">
        <f t="shared" si="9"/>
        <v/>
      </c>
      <c r="Q72" t="str">
        <f t="shared" si="31"/>
        <v/>
      </c>
      <c r="S72" s="20" t="str">
        <v/>
      </c>
      <c r="T72" s="20" t="str">
        <f t="shared" si="26"/>
        <v/>
      </c>
      <c r="U72" t="str">
        <f t="shared" si="10"/>
        <v/>
      </c>
      <c r="V72" s="3" t="str">
        <f t="shared" si="18"/>
        <v/>
      </c>
      <c r="W72" s="20" t="str">
        <v/>
      </c>
      <c r="X72" s="20" t="str">
        <f t="shared" si="27"/>
        <v/>
      </c>
      <c r="Y72" t="str">
        <f t="shared" si="11"/>
        <v/>
      </c>
      <c r="AA72" t="str">
        <f t="shared" si="28"/>
        <v/>
      </c>
      <c r="AB72" t="str">
        <f t="shared" si="29"/>
        <v/>
      </c>
      <c r="AF72" s="20"/>
      <c r="AJ72" t="str">
        <f t="shared" si="30"/>
        <v/>
      </c>
      <c r="AK72" t="str">
        <f t="shared" si="16"/>
        <v/>
      </c>
      <c r="AL72" t="str">
        <f t="shared" si="17"/>
        <v/>
      </c>
      <c r="AM72" t="str">
        <f t="shared" si="12"/>
        <v/>
      </c>
      <c r="AN72" t="str">
        <f t="shared" si="13"/>
        <v/>
      </c>
      <c r="AQ72" s="20" t="str">
        <f t="shared" si="19"/>
        <v/>
      </c>
      <c r="AR72" s="3" t="str">
        <f t="shared" si="20"/>
        <v/>
      </c>
      <c r="AS72" s="3" t="str">
        <f t="shared" si="21"/>
        <v/>
      </c>
      <c r="AT72" t="str">
        <f t="shared" si="22"/>
        <v/>
      </c>
    </row>
    <row r="73" spans="1:46" x14ac:dyDescent="0.3">
      <c r="A73" s="7"/>
      <c r="B73" s="14" t="str">
        <f t="shared" si="7"/>
        <v/>
      </c>
      <c r="C73" s="25"/>
      <c r="D73" s="81"/>
      <c r="E73" s="81"/>
      <c r="F73" s="81"/>
      <c r="G73" s="81"/>
      <c r="H73" s="13" t="str" cm="1">
        <f t="array" ref="H73">_xlfn.IFS(AND($E$12="Concentration",E73&lt;&gt;"",G73&lt;&gt;"",C73&lt;&gt;""),"X",AND(OR($E$12="Flow",$E$12="Volume"),D73&lt;&gt;"",F73&lt;&gt;"",C73&lt;&gt;""),"X",AND($E$12="Depth",$E$10&lt;&gt;"",$E$8&lt;&gt;"",D73&lt;&gt;"",F73&lt;&gt;"",C73&lt;&gt;""),"X",AND($E$12="Load",D73&lt;="",E73&lt;&gt;"",F73&lt;&gt;"",G73&lt;&gt;"",C73&lt;&gt;""),"X",AND($E$12="Yield",D73&lt;="",E73&lt;&gt;"",F73&lt;&gt;"",G73&lt;&gt;"",$E$8&lt;&gt;"",$E$10&lt;&gt;"",C73&lt;&gt;""),"X",C73="","",1&gt;0,"")</f>
        <v/>
      </c>
      <c r="I73" s="7"/>
      <c r="J73" s="121" t="str" cm="1">
        <f t="array" ref="J73">_xlfn.IFS(AND($E$12="Concentration",E73&lt;&gt;""),E73,AND(OR($E$12="Volume", $E$12="Flow"),D73&lt;&gt;""),D73,AND($E$12="Load",D73&lt;&gt;"",E73&lt;&gt;""),D73*E73*conv_fact,AND($E$12="Yield",D73&lt;&gt;"",E73&lt;&gt;"", $E$8&lt;&gt;""),D73*E73*conv_fact/$E$8,AND($E$12="Depth",D73&lt;&gt;"",$E$8&lt;&gt;""),D73*conv_fact/$E$8,OR(D73="",E73=""),"")</f>
        <v/>
      </c>
      <c r="K73" s="121" t="str" cm="1">
        <f t="array" ref="K73">_xlfn.IFS(AND($E$12="Concentration",G73&lt;&gt;""),G73,AND(OR($E$12="Volume", $E$12="Flow"),F73&lt;&gt;""),F73,AND($E$12="Load",F73&lt;&gt;"",G73&lt;&gt;""),F73*G73*conv_fact,AND($E$12="Yield",F73&lt;&gt;"",G73&lt;&gt;"", $E$10&lt;&gt;""),F73*G73*conv_fact/$E$10, AND($E$12="Depth",F73&lt;&gt;"",$E$10&lt;&gt;""),F73*conv_fact/$E$10,OR(F73="",G73=""),"")</f>
        <v/>
      </c>
      <c r="L73" s="118" t="e">
        <f t="shared" si="23"/>
        <v>#N/A</v>
      </c>
      <c r="M73" s="118" t="e">
        <f t="shared" si="24"/>
        <v>#N/A</v>
      </c>
      <c r="O73" s="3" t="str">
        <f t="shared" si="25"/>
        <v/>
      </c>
      <c r="P73" s="3" t="str">
        <f t="shared" si="9"/>
        <v/>
      </c>
      <c r="Q73" t="str">
        <f t="shared" si="31"/>
        <v/>
      </c>
      <c r="S73" s="20" t="str">
        <v/>
      </c>
      <c r="T73" s="20" t="str">
        <f t="shared" si="26"/>
        <v/>
      </c>
      <c r="U73" t="str">
        <f t="shared" si="10"/>
        <v/>
      </c>
      <c r="V73" s="3" t="str">
        <f t="shared" ref="V73:V104" si="32">IF(B73&lt;&gt;"", (SUMSQ($U$41:$U$119))^(-0.5)*U73, "")</f>
        <v/>
      </c>
      <c r="W73" s="20" t="str">
        <v/>
      </c>
      <c r="X73" s="20" t="str">
        <f t="shared" si="27"/>
        <v/>
      </c>
      <c r="Y73" t="str">
        <f t="shared" si="11"/>
        <v/>
      </c>
      <c r="AA73" t="str">
        <f t="shared" si="28"/>
        <v/>
      </c>
      <c r="AB73" t="str">
        <f t="shared" si="29"/>
        <v/>
      </c>
      <c r="AF73" s="20"/>
      <c r="AJ73" t="str">
        <f t="shared" si="30"/>
        <v/>
      </c>
      <c r="AK73" t="str">
        <f t="shared" si="16"/>
        <v/>
      </c>
      <c r="AL73" t="str">
        <f t="shared" si="17"/>
        <v/>
      </c>
      <c r="AM73" t="str">
        <f t="shared" si="12"/>
        <v/>
      </c>
      <c r="AN73" t="str">
        <f t="shared" si="13"/>
        <v/>
      </c>
      <c r="AQ73" s="20" t="str">
        <f t="shared" si="19"/>
        <v/>
      </c>
      <c r="AR73" s="3" t="str">
        <f t="shared" si="20"/>
        <v/>
      </c>
      <c r="AS73" s="3" t="str">
        <f t="shared" si="21"/>
        <v/>
      </c>
      <c r="AT73" t="str">
        <f t="shared" si="22"/>
        <v/>
      </c>
    </row>
    <row r="74" spans="1:46" x14ac:dyDescent="0.3">
      <c r="A74" s="7"/>
      <c r="B74" s="14" t="str">
        <f t="shared" si="7"/>
        <v/>
      </c>
      <c r="C74" s="25"/>
      <c r="D74" s="81"/>
      <c r="E74" s="81"/>
      <c r="F74" s="81"/>
      <c r="G74" s="81"/>
      <c r="H74" s="13" t="str" cm="1">
        <f t="array" ref="H74">_xlfn.IFS(AND($E$12="Concentration",E74&lt;&gt;"",G74&lt;&gt;"",C74&lt;&gt;""),"X",AND(OR($E$12="Flow",$E$12="Volume"),D74&lt;&gt;"",F74&lt;&gt;"",C74&lt;&gt;""),"X",AND($E$12="Depth",$E$10&lt;&gt;"",$E$8&lt;&gt;"",D74&lt;&gt;"",F74&lt;&gt;"",C74&lt;&gt;""),"X",AND($E$12="Load",D74&lt;="",E74&lt;&gt;"",F74&lt;&gt;"",G74&lt;&gt;"",C74&lt;&gt;""),"X",AND($E$12="Yield",D74&lt;="",E74&lt;&gt;"",F74&lt;&gt;"",G74&lt;&gt;"",$E$8&lt;&gt;"",$E$10&lt;&gt;"",C74&lt;&gt;""),"X",C74="","",1&gt;0,"")</f>
        <v/>
      </c>
      <c r="I74" s="7"/>
      <c r="J74" s="121" t="str" cm="1">
        <f t="array" ref="J74">_xlfn.IFS(AND($E$12="Concentration",E74&lt;&gt;""),E74,AND(OR($E$12="Volume", $E$12="Flow"),D74&lt;&gt;""),D74,AND($E$12="Load",D74&lt;&gt;"",E74&lt;&gt;""),D74*E74*conv_fact,AND($E$12="Yield",D74&lt;&gt;"",E74&lt;&gt;"", $E$8&lt;&gt;""),D74*E74*conv_fact/$E$8,AND($E$12="Depth",D74&lt;&gt;"",$E$8&lt;&gt;""),D74*conv_fact/$E$8,OR(D74="",E74=""),"")</f>
        <v/>
      </c>
      <c r="K74" s="121" t="str" cm="1">
        <f t="array" ref="K74">_xlfn.IFS(AND($E$12="Concentration",G74&lt;&gt;""),G74,AND(OR($E$12="Volume", $E$12="Flow"),F74&lt;&gt;""),F74,AND($E$12="Load",F74&lt;&gt;"",G74&lt;&gt;""),F74*G74*conv_fact,AND($E$12="Yield",F74&lt;&gt;"",G74&lt;&gt;"", $E$10&lt;&gt;""),F74*G74*conv_fact/$E$10, AND($E$12="Depth",F74&lt;&gt;"",$E$10&lt;&gt;""),F74*conv_fact/$E$10,OR(F74="",G74=""),"")</f>
        <v/>
      </c>
      <c r="L74" s="118" t="e">
        <f t="shared" si="23"/>
        <v>#N/A</v>
      </c>
      <c r="M74" s="118" t="e">
        <f t="shared" si="24"/>
        <v>#N/A</v>
      </c>
      <c r="O74" s="3" t="str">
        <f t="shared" si="25"/>
        <v/>
      </c>
      <c r="P74" s="3" t="str">
        <f t="shared" si="9"/>
        <v/>
      </c>
      <c r="Q74" t="str">
        <f t="shared" si="31"/>
        <v/>
      </c>
      <c r="S74" s="20" t="str">
        <v/>
      </c>
      <c r="T74" s="20" t="str">
        <f t="shared" si="26"/>
        <v/>
      </c>
      <c r="U74" t="str">
        <f t="shared" si="10"/>
        <v/>
      </c>
      <c r="V74" s="3" t="str">
        <f t="shared" si="32"/>
        <v/>
      </c>
      <c r="W74" s="20" t="str">
        <v/>
      </c>
      <c r="X74" s="20" t="str">
        <f t="shared" si="27"/>
        <v/>
      </c>
      <c r="Y74" t="str">
        <f t="shared" si="11"/>
        <v/>
      </c>
      <c r="AA74" t="str">
        <f t="shared" si="28"/>
        <v/>
      </c>
      <c r="AB74" t="str">
        <f t="shared" si="29"/>
        <v/>
      </c>
      <c r="AF74" s="20"/>
      <c r="AJ74" t="str">
        <f t="shared" si="30"/>
        <v/>
      </c>
      <c r="AK74" t="str">
        <f t="shared" si="16"/>
        <v/>
      </c>
      <c r="AL74" t="str">
        <f t="shared" si="17"/>
        <v/>
      </c>
      <c r="AM74" t="str">
        <f t="shared" si="12"/>
        <v/>
      </c>
      <c r="AN74" t="str">
        <f t="shared" si="13"/>
        <v/>
      </c>
      <c r="AQ74" s="20" t="str">
        <f t="shared" si="19"/>
        <v/>
      </c>
      <c r="AR74" s="3" t="str">
        <f t="shared" si="20"/>
        <v/>
      </c>
      <c r="AS74" s="3" t="str">
        <f t="shared" si="21"/>
        <v/>
      </c>
      <c r="AT74" t="str">
        <f t="shared" si="22"/>
        <v/>
      </c>
    </row>
    <row r="75" spans="1:46" x14ac:dyDescent="0.3">
      <c r="A75" s="7"/>
      <c r="B75" s="14" t="str">
        <f t="shared" si="7"/>
        <v/>
      </c>
      <c r="C75" s="25"/>
      <c r="D75" s="81"/>
      <c r="E75" s="81"/>
      <c r="F75" s="81"/>
      <c r="G75" s="81"/>
      <c r="H75" s="13" t="str" cm="1">
        <f t="array" ref="H75">_xlfn.IFS(AND($E$12="Concentration",E75&lt;&gt;"",G75&lt;&gt;"",C75&lt;&gt;""),"X",AND(OR($E$12="Flow",$E$12="Volume"),D75&lt;&gt;"",F75&lt;&gt;"",C75&lt;&gt;""),"X",AND($E$12="Depth",$E$10&lt;&gt;"",$E$8&lt;&gt;"",D75&lt;&gt;"",F75&lt;&gt;"",C75&lt;&gt;""),"X",AND($E$12="Load",D75&lt;="",E75&lt;&gt;"",F75&lt;&gt;"",G75&lt;&gt;"",C75&lt;&gt;""),"X",AND($E$12="Yield",D75&lt;="",E75&lt;&gt;"",F75&lt;&gt;"",G75&lt;&gt;"",$E$8&lt;&gt;"",$E$10&lt;&gt;"",C75&lt;&gt;""),"X",C75="","",1&gt;0,"")</f>
        <v/>
      </c>
      <c r="I75" s="7"/>
      <c r="J75" s="121" t="str" cm="1">
        <f t="array" ref="J75">_xlfn.IFS(AND($E$12="Concentration",E75&lt;&gt;""),E75,AND(OR($E$12="Volume", $E$12="Flow"),D75&lt;&gt;""),D75,AND($E$12="Load",D75&lt;&gt;"",E75&lt;&gt;""),D75*E75*conv_fact,AND($E$12="Yield",D75&lt;&gt;"",E75&lt;&gt;"", $E$8&lt;&gt;""),D75*E75*conv_fact/$E$8,AND($E$12="Depth",D75&lt;&gt;"",$E$8&lt;&gt;""),D75*conv_fact/$E$8,OR(D75="",E75=""),"")</f>
        <v/>
      </c>
      <c r="K75" s="121" t="str" cm="1">
        <f t="array" ref="K75">_xlfn.IFS(AND($E$12="Concentration",G75&lt;&gt;""),G75,AND(OR($E$12="Volume", $E$12="Flow"),F75&lt;&gt;""),F75,AND($E$12="Load",F75&lt;&gt;"",G75&lt;&gt;""),F75*G75*conv_fact,AND($E$12="Yield",F75&lt;&gt;"",G75&lt;&gt;"", $E$10&lt;&gt;""),F75*G75*conv_fact/$E$10, AND($E$12="Depth",F75&lt;&gt;"",$E$10&lt;&gt;""),F75*conv_fact/$E$10,OR(F75="",G75=""),"")</f>
        <v/>
      </c>
      <c r="L75" s="118" t="e">
        <f t="shared" si="23"/>
        <v>#N/A</v>
      </c>
      <c r="M75" s="118" t="e">
        <f t="shared" si="24"/>
        <v>#N/A</v>
      </c>
      <c r="O75" s="3" t="str">
        <f t="shared" si="25"/>
        <v/>
      </c>
      <c r="P75" s="3" t="str">
        <f t="shared" si="9"/>
        <v/>
      </c>
      <c r="Q75" t="str">
        <f t="shared" si="31"/>
        <v/>
      </c>
      <c r="S75" s="20" t="str">
        <v/>
      </c>
      <c r="T75" s="20" t="str">
        <f t="shared" si="26"/>
        <v/>
      </c>
      <c r="U75" t="str">
        <f t="shared" si="10"/>
        <v/>
      </c>
      <c r="V75" s="3" t="str">
        <f t="shared" si="32"/>
        <v/>
      </c>
      <c r="W75" s="20" t="str">
        <v/>
      </c>
      <c r="X75" s="20" t="str">
        <f t="shared" si="27"/>
        <v/>
      </c>
      <c r="Y75" t="str">
        <f t="shared" si="11"/>
        <v/>
      </c>
      <c r="AA75" t="str">
        <f t="shared" si="28"/>
        <v/>
      </c>
      <c r="AB75" t="str">
        <f t="shared" si="29"/>
        <v/>
      </c>
      <c r="AF75" s="20"/>
      <c r="AJ75" t="str">
        <f t="shared" si="30"/>
        <v/>
      </c>
      <c r="AK75" t="str">
        <f t="shared" si="16"/>
        <v/>
      </c>
      <c r="AL75" t="str">
        <f t="shared" si="17"/>
        <v/>
      </c>
      <c r="AM75" t="str">
        <f t="shared" si="12"/>
        <v/>
      </c>
      <c r="AN75" t="str">
        <f t="shared" si="13"/>
        <v/>
      </c>
      <c r="AQ75" s="20" t="str">
        <f t="shared" si="19"/>
        <v/>
      </c>
      <c r="AR75" s="3" t="str">
        <f t="shared" si="20"/>
        <v/>
      </c>
      <c r="AS75" s="3" t="str">
        <f t="shared" si="21"/>
        <v/>
      </c>
      <c r="AT75" t="str">
        <f t="shared" si="22"/>
        <v/>
      </c>
    </row>
    <row r="76" spans="1:46" x14ac:dyDescent="0.3">
      <c r="A76" s="7"/>
      <c r="B76" s="14" t="str">
        <f t="shared" si="7"/>
        <v/>
      </c>
      <c r="C76" s="25"/>
      <c r="D76" s="81"/>
      <c r="E76" s="81"/>
      <c r="F76" s="81"/>
      <c r="G76" s="81"/>
      <c r="H76" s="13" t="str" cm="1">
        <f t="array" ref="H76">_xlfn.IFS(AND($E$12="Concentration",E76&lt;&gt;"",G76&lt;&gt;"",C76&lt;&gt;""),"X",AND(OR($E$12="Flow",$E$12="Volume"),D76&lt;&gt;"",F76&lt;&gt;"",C76&lt;&gt;""),"X",AND($E$12="Depth",$E$10&lt;&gt;"",$E$8&lt;&gt;"",D76&lt;&gt;"",F76&lt;&gt;"",C76&lt;&gt;""),"X",AND($E$12="Load",D76&lt;="",E76&lt;&gt;"",F76&lt;&gt;"",G76&lt;&gt;"",C76&lt;&gt;""),"X",AND($E$12="Yield",D76&lt;="",E76&lt;&gt;"",F76&lt;&gt;"",G76&lt;&gt;"",$E$8&lt;&gt;"",$E$10&lt;&gt;"",C76&lt;&gt;""),"X",C76="","",1&gt;0,"")</f>
        <v/>
      </c>
      <c r="I76" s="7"/>
      <c r="J76" s="121" t="str" cm="1">
        <f t="array" ref="J76">_xlfn.IFS(AND($E$12="Concentration",E76&lt;&gt;""),E76,AND(OR($E$12="Volume", $E$12="Flow"),D76&lt;&gt;""),D76,AND($E$12="Load",D76&lt;&gt;"",E76&lt;&gt;""),D76*E76*conv_fact,AND($E$12="Yield",D76&lt;&gt;"",E76&lt;&gt;"", $E$8&lt;&gt;""),D76*E76*conv_fact/$E$8,AND($E$12="Depth",D76&lt;&gt;"",$E$8&lt;&gt;""),D76*conv_fact/$E$8,OR(D76="",E76=""),"")</f>
        <v/>
      </c>
      <c r="K76" s="121" t="str" cm="1">
        <f t="array" ref="K76">_xlfn.IFS(AND($E$12="Concentration",G76&lt;&gt;""),G76,AND(OR($E$12="Volume", $E$12="Flow"),F76&lt;&gt;""),F76,AND($E$12="Load",F76&lt;&gt;"",G76&lt;&gt;""),F76*G76*conv_fact,AND($E$12="Yield",F76&lt;&gt;"",G76&lt;&gt;"", $E$10&lt;&gt;""),F76*G76*conv_fact/$E$10, AND($E$12="Depth",F76&lt;&gt;"",$E$10&lt;&gt;""),F76*conv_fact/$E$10,OR(F76="",G76=""),"")</f>
        <v/>
      </c>
      <c r="L76" s="118" t="e">
        <f t="shared" si="23"/>
        <v>#N/A</v>
      </c>
      <c r="M76" s="118" t="e">
        <f t="shared" si="24"/>
        <v>#N/A</v>
      </c>
      <c r="O76" s="3" t="str">
        <f t="shared" si="25"/>
        <v/>
      </c>
      <c r="P76" s="3" t="str">
        <f t="shared" si="9"/>
        <v/>
      </c>
      <c r="Q76" t="str">
        <f t="shared" si="31"/>
        <v/>
      </c>
      <c r="S76" s="20" t="str">
        <v/>
      </c>
      <c r="T76" s="20" t="str">
        <f t="shared" si="26"/>
        <v/>
      </c>
      <c r="U76" t="str">
        <f t="shared" si="10"/>
        <v/>
      </c>
      <c r="V76" s="3" t="str">
        <f t="shared" si="32"/>
        <v/>
      </c>
      <c r="W76" s="20" t="str">
        <v/>
      </c>
      <c r="X76" s="20" t="str">
        <f t="shared" si="27"/>
        <v/>
      </c>
      <c r="Y76" t="str">
        <f t="shared" si="11"/>
        <v/>
      </c>
      <c r="AA76" t="str">
        <f t="shared" si="28"/>
        <v/>
      </c>
      <c r="AB76" t="str">
        <f t="shared" si="29"/>
        <v/>
      </c>
      <c r="AF76" s="20"/>
      <c r="AJ76" t="str">
        <f t="shared" si="30"/>
        <v/>
      </c>
      <c r="AK76" t="str">
        <f t="shared" si="16"/>
        <v/>
      </c>
      <c r="AL76" t="str">
        <f t="shared" si="17"/>
        <v/>
      </c>
      <c r="AM76" t="str">
        <f t="shared" si="12"/>
        <v/>
      </c>
      <c r="AN76" t="str">
        <f t="shared" si="13"/>
        <v/>
      </c>
      <c r="AQ76" s="20" t="str">
        <f t="shared" si="19"/>
        <v/>
      </c>
      <c r="AR76" s="3" t="str">
        <f t="shared" si="20"/>
        <v/>
      </c>
      <c r="AS76" s="3" t="str">
        <f t="shared" si="21"/>
        <v/>
      </c>
      <c r="AT76" t="str">
        <f t="shared" si="22"/>
        <v/>
      </c>
    </row>
    <row r="77" spans="1:46" x14ac:dyDescent="0.3">
      <c r="A77" s="7"/>
      <c r="B77" s="14" t="str">
        <f t="shared" si="7"/>
        <v/>
      </c>
      <c r="C77" s="25"/>
      <c r="D77" s="81"/>
      <c r="E77" s="81"/>
      <c r="F77" s="81"/>
      <c r="G77" s="81"/>
      <c r="H77" s="13" t="str" cm="1">
        <f t="array" ref="H77">_xlfn.IFS(AND($E$12="Concentration",E77&lt;&gt;"",G77&lt;&gt;"",C77&lt;&gt;""),"X",AND(OR($E$12="Flow",$E$12="Volume"),D77&lt;&gt;"",F77&lt;&gt;"",C77&lt;&gt;""),"X",AND($E$12="Depth",$E$10&lt;&gt;"",$E$8&lt;&gt;"",D77&lt;&gt;"",F77&lt;&gt;"",C77&lt;&gt;""),"X",AND($E$12="Load",D77&lt;="",E77&lt;&gt;"",F77&lt;&gt;"",G77&lt;&gt;"",C77&lt;&gt;""),"X",AND($E$12="Yield",D77&lt;="",E77&lt;&gt;"",F77&lt;&gt;"",G77&lt;&gt;"",$E$8&lt;&gt;"",$E$10&lt;&gt;"",C77&lt;&gt;""),"X",C77="","",1&gt;0,"")</f>
        <v/>
      </c>
      <c r="I77" s="7"/>
      <c r="J77" s="121" t="str" cm="1">
        <f t="array" ref="J77">_xlfn.IFS(AND($E$12="Concentration",E77&lt;&gt;""),E77,AND(OR($E$12="Volume", $E$12="Flow"),D77&lt;&gt;""),D77,AND($E$12="Load",D77&lt;&gt;"",E77&lt;&gt;""),D77*E77*conv_fact,AND($E$12="Yield",D77&lt;&gt;"",E77&lt;&gt;"", $E$8&lt;&gt;""),D77*E77*conv_fact/$E$8,AND($E$12="Depth",D77&lt;&gt;"",$E$8&lt;&gt;""),D77*conv_fact/$E$8,OR(D77="",E77=""),"")</f>
        <v/>
      </c>
      <c r="K77" s="121" t="str" cm="1">
        <f t="array" ref="K77">_xlfn.IFS(AND($E$12="Concentration",G77&lt;&gt;""),G77,AND(OR($E$12="Volume", $E$12="Flow"),F77&lt;&gt;""),F77,AND($E$12="Load",F77&lt;&gt;"",G77&lt;&gt;""),F77*G77*conv_fact,AND($E$12="Yield",F77&lt;&gt;"",G77&lt;&gt;"", $E$10&lt;&gt;""),F77*G77*conv_fact/$E$10, AND($E$12="Depth",F77&lt;&gt;"",$E$10&lt;&gt;""),F77*conv_fact/$E$10,OR(F77="",G77=""),"")</f>
        <v/>
      </c>
      <c r="L77" s="118" t="e">
        <f t="shared" si="23"/>
        <v>#N/A</v>
      </c>
      <c r="M77" s="118" t="e">
        <f t="shared" si="24"/>
        <v>#N/A</v>
      </c>
      <c r="O77" s="3" t="str">
        <f t="shared" si="25"/>
        <v/>
      </c>
      <c r="P77" s="3" t="str">
        <f t="shared" si="9"/>
        <v/>
      </c>
      <c r="Q77" t="str">
        <f t="shared" si="31"/>
        <v/>
      </c>
      <c r="S77" s="20" t="str">
        <v/>
      </c>
      <c r="T77" s="20" t="str">
        <f t="shared" si="26"/>
        <v/>
      </c>
      <c r="U77" t="str">
        <f t="shared" si="10"/>
        <v/>
      </c>
      <c r="V77" s="3" t="str">
        <f t="shared" si="32"/>
        <v/>
      </c>
      <c r="W77" s="20" t="str">
        <v/>
      </c>
      <c r="X77" s="20" t="str">
        <f t="shared" si="27"/>
        <v/>
      </c>
      <c r="Y77" t="str">
        <f t="shared" si="11"/>
        <v/>
      </c>
      <c r="AA77" t="str">
        <f t="shared" si="28"/>
        <v/>
      </c>
      <c r="AB77" t="str">
        <f t="shared" si="29"/>
        <v/>
      </c>
      <c r="AF77" s="20"/>
      <c r="AJ77" t="str">
        <f t="shared" si="30"/>
        <v/>
      </c>
      <c r="AK77" t="str">
        <f t="shared" si="16"/>
        <v/>
      </c>
      <c r="AL77" t="str">
        <f t="shared" si="17"/>
        <v/>
      </c>
      <c r="AM77" t="str">
        <f t="shared" si="12"/>
        <v/>
      </c>
      <c r="AN77" t="str">
        <f t="shared" si="13"/>
        <v/>
      </c>
      <c r="AQ77" s="20" t="str">
        <f t="shared" si="19"/>
        <v/>
      </c>
      <c r="AR77" s="3" t="str">
        <f t="shared" si="20"/>
        <v/>
      </c>
      <c r="AS77" s="3" t="str">
        <f t="shared" si="21"/>
        <v/>
      </c>
      <c r="AT77" t="str">
        <f t="shared" si="22"/>
        <v/>
      </c>
    </row>
    <row r="78" spans="1:46" x14ac:dyDescent="0.3">
      <c r="A78" s="7"/>
      <c r="B78" s="14" t="str">
        <f t="shared" si="7"/>
        <v/>
      </c>
      <c r="C78" s="25"/>
      <c r="D78" s="81"/>
      <c r="E78" s="81"/>
      <c r="F78" s="81"/>
      <c r="G78" s="81"/>
      <c r="H78" s="13" t="str" cm="1">
        <f t="array" ref="H78">_xlfn.IFS(AND($E$12="Concentration",E78&lt;&gt;"",G78&lt;&gt;"",C78&lt;&gt;""),"X",AND(OR($E$12="Flow",$E$12="Volume"),D78&lt;&gt;"",F78&lt;&gt;"",C78&lt;&gt;""),"X",AND($E$12="Depth",$E$10&lt;&gt;"",$E$8&lt;&gt;"",D78&lt;&gt;"",F78&lt;&gt;"",C78&lt;&gt;""),"X",AND($E$12="Load",D78&lt;="",E78&lt;&gt;"",F78&lt;&gt;"",G78&lt;&gt;"",C78&lt;&gt;""),"X",AND($E$12="Yield",D78&lt;="",E78&lt;&gt;"",F78&lt;&gt;"",G78&lt;&gt;"",$E$8&lt;&gt;"",$E$10&lt;&gt;"",C78&lt;&gt;""),"X",C78="","",1&gt;0,"")</f>
        <v/>
      </c>
      <c r="I78" s="7"/>
      <c r="J78" s="121" t="str" cm="1">
        <f t="array" ref="J78">_xlfn.IFS(AND($E$12="Concentration",E78&lt;&gt;""),E78,AND(OR($E$12="Volume", $E$12="Flow"),D78&lt;&gt;""),D78,AND($E$12="Load",D78&lt;&gt;"",E78&lt;&gt;""),D78*E78*conv_fact,AND($E$12="Yield",D78&lt;&gt;"",E78&lt;&gt;"", $E$8&lt;&gt;""),D78*E78*conv_fact/$E$8,AND($E$12="Depth",D78&lt;&gt;"",$E$8&lt;&gt;""),D78*conv_fact/$E$8,OR(D78="",E78=""),"")</f>
        <v/>
      </c>
      <c r="K78" s="121" t="str" cm="1">
        <f t="array" ref="K78">_xlfn.IFS(AND($E$12="Concentration",G78&lt;&gt;""),G78,AND(OR($E$12="Volume", $E$12="Flow"),F78&lt;&gt;""),F78,AND($E$12="Load",F78&lt;&gt;"",G78&lt;&gt;""),F78*G78*conv_fact,AND($E$12="Yield",F78&lt;&gt;"",G78&lt;&gt;"", $E$10&lt;&gt;""),F78*G78*conv_fact/$E$10, AND($E$12="Depth",F78&lt;&gt;"",$E$10&lt;&gt;""),F78*conv_fact/$E$10,OR(F78="",G78=""),"")</f>
        <v/>
      </c>
      <c r="L78" s="118" t="e">
        <f t="shared" si="23"/>
        <v>#N/A</v>
      </c>
      <c r="M78" s="118" t="e">
        <f t="shared" si="24"/>
        <v>#N/A</v>
      </c>
      <c r="O78" s="3" t="str">
        <f t="shared" si="25"/>
        <v/>
      </c>
      <c r="P78" s="3" t="str">
        <f t="shared" si="9"/>
        <v/>
      </c>
      <c r="Q78" t="str">
        <f t="shared" si="31"/>
        <v/>
      </c>
      <c r="S78" s="20" t="str">
        <v/>
      </c>
      <c r="T78" s="20" t="str">
        <f t="shared" si="26"/>
        <v/>
      </c>
      <c r="U78" t="str">
        <f t="shared" si="10"/>
        <v/>
      </c>
      <c r="V78" s="3" t="str">
        <f t="shared" si="32"/>
        <v/>
      </c>
      <c r="W78" s="20" t="str">
        <v/>
      </c>
      <c r="X78" s="20" t="str">
        <f t="shared" si="27"/>
        <v/>
      </c>
      <c r="Y78" t="str">
        <f t="shared" si="11"/>
        <v/>
      </c>
      <c r="AA78" t="str">
        <f t="shared" si="28"/>
        <v/>
      </c>
      <c r="AB78" t="str">
        <f t="shared" si="29"/>
        <v/>
      </c>
      <c r="AF78" s="20"/>
      <c r="AJ78" t="str">
        <f t="shared" si="30"/>
        <v/>
      </c>
      <c r="AK78" t="str">
        <f t="shared" si="16"/>
        <v/>
      </c>
      <c r="AL78" t="str">
        <f t="shared" si="17"/>
        <v/>
      </c>
      <c r="AM78" t="str">
        <f t="shared" si="12"/>
        <v/>
      </c>
      <c r="AN78" t="str">
        <f t="shared" si="13"/>
        <v/>
      </c>
      <c r="AQ78" s="20" t="str">
        <f t="shared" si="19"/>
        <v/>
      </c>
      <c r="AR78" s="3" t="str">
        <f t="shared" si="20"/>
        <v/>
      </c>
      <c r="AS78" s="3" t="str">
        <f t="shared" si="21"/>
        <v/>
      </c>
      <c r="AT78" t="str">
        <f t="shared" si="22"/>
        <v/>
      </c>
    </row>
    <row r="79" spans="1:46" x14ac:dyDescent="0.3">
      <c r="A79" s="7"/>
      <c r="B79" s="14" t="str">
        <f t="shared" si="7"/>
        <v/>
      </c>
      <c r="C79" s="25"/>
      <c r="D79" s="81"/>
      <c r="E79" s="81"/>
      <c r="F79" s="81"/>
      <c r="G79" s="81"/>
      <c r="H79" s="13" t="str" cm="1">
        <f t="array" ref="H79">_xlfn.IFS(AND($E$12="Concentration",E79&lt;&gt;"",G79&lt;&gt;"",C79&lt;&gt;""),"X",AND(OR($E$12="Flow",$E$12="Volume"),D79&lt;&gt;"",F79&lt;&gt;"",C79&lt;&gt;""),"X",AND($E$12="Depth",$E$10&lt;&gt;"",$E$8&lt;&gt;"",D79&lt;&gt;"",F79&lt;&gt;"",C79&lt;&gt;""),"X",AND($E$12="Load",D79&lt;="",E79&lt;&gt;"",F79&lt;&gt;"",G79&lt;&gt;"",C79&lt;&gt;""),"X",AND($E$12="Yield",D79&lt;="",E79&lt;&gt;"",F79&lt;&gt;"",G79&lt;&gt;"",$E$8&lt;&gt;"",$E$10&lt;&gt;"",C79&lt;&gt;""),"X",C79="","",1&gt;0,"")</f>
        <v/>
      </c>
      <c r="I79" s="7"/>
      <c r="J79" s="121" t="str" cm="1">
        <f t="array" ref="J79">_xlfn.IFS(AND($E$12="Concentration",E79&lt;&gt;""),E79,AND(OR($E$12="Volume", $E$12="Flow"),D79&lt;&gt;""),D79,AND($E$12="Load",D79&lt;&gt;"",E79&lt;&gt;""),D79*E79*conv_fact,AND($E$12="Yield",D79&lt;&gt;"",E79&lt;&gt;"", $E$8&lt;&gt;""),D79*E79*conv_fact/$E$8,AND($E$12="Depth",D79&lt;&gt;"",$E$8&lt;&gt;""),D79*conv_fact/$E$8,OR(D79="",E79=""),"")</f>
        <v/>
      </c>
      <c r="K79" s="121" t="str" cm="1">
        <f t="array" ref="K79">_xlfn.IFS(AND($E$12="Concentration",G79&lt;&gt;""),G79,AND(OR($E$12="Volume", $E$12="Flow"),F79&lt;&gt;""),F79,AND($E$12="Load",F79&lt;&gt;"",G79&lt;&gt;""),F79*G79*conv_fact,AND($E$12="Yield",F79&lt;&gt;"",G79&lt;&gt;"", $E$10&lt;&gt;""),F79*G79*conv_fact/$E$10, AND($E$12="Depth",F79&lt;&gt;"",$E$10&lt;&gt;""),F79*conv_fact/$E$10,OR(F79="",G79=""),"")</f>
        <v/>
      </c>
      <c r="L79" s="118" t="e">
        <f t="shared" si="23"/>
        <v>#N/A</v>
      </c>
      <c r="M79" s="118" t="e">
        <f t="shared" si="24"/>
        <v>#N/A</v>
      </c>
      <c r="O79" s="3" t="str">
        <f t="shared" si="25"/>
        <v/>
      </c>
      <c r="P79" s="3" t="str">
        <f t="shared" si="9"/>
        <v/>
      </c>
      <c r="Q79" t="str">
        <f t="shared" si="31"/>
        <v/>
      </c>
      <c r="S79" s="20" t="str">
        <v/>
      </c>
      <c r="T79" s="20" t="str">
        <f t="shared" si="26"/>
        <v/>
      </c>
      <c r="U79" t="str">
        <f t="shared" si="10"/>
        <v/>
      </c>
      <c r="V79" s="3" t="str">
        <f t="shared" si="32"/>
        <v/>
      </c>
      <c r="W79" s="20" t="str">
        <v/>
      </c>
      <c r="X79" s="20" t="str">
        <f t="shared" si="27"/>
        <v/>
      </c>
      <c r="Y79" t="str">
        <f t="shared" si="11"/>
        <v/>
      </c>
      <c r="AA79" t="str">
        <f t="shared" si="28"/>
        <v/>
      </c>
      <c r="AB79" t="str">
        <f t="shared" si="29"/>
        <v/>
      </c>
      <c r="AF79" s="20"/>
      <c r="AJ79" t="str">
        <f t="shared" si="30"/>
        <v/>
      </c>
      <c r="AK79" t="str">
        <f t="shared" si="16"/>
        <v/>
      </c>
      <c r="AL79" t="str">
        <f t="shared" si="17"/>
        <v/>
      </c>
      <c r="AM79" t="str">
        <f t="shared" si="12"/>
        <v/>
      </c>
      <c r="AN79" t="str">
        <f t="shared" si="13"/>
        <v/>
      </c>
      <c r="AQ79" s="20" t="str">
        <f t="shared" si="19"/>
        <v/>
      </c>
      <c r="AR79" s="3" t="str">
        <f t="shared" si="20"/>
        <v/>
      </c>
      <c r="AS79" s="3" t="str">
        <f t="shared" si="21"/>
        <v/>
      </c>
      <c r="AT79" t="str">
        <f t="shared" si="22"/>
        <v/>
      </c>
    </row>
    <row r="80" spans="1:46" x14ac:dyDescent="0.3">
      <c r="A80" s="7"/>
      <c r="B80" s="14" t="str">
        <f t="shared" si="7"/>
        <v/>
      </c>
      <c r="C80" s="25"/>
      <c r="D80" s="81"/>
      <c r="E80" s="81"/>
      <c r="F80" s="81"/>
      <c r="G80" s="81"/>
      <c r="H80" s="13" t="str" cm="1">
        <f t="array" ref="H80">_xlfn.IFS(AND($E$12="Concentration",E80&lt;&gt;"",G80&lt;&gt;"",C80&lt;&gt;""),"X",AND(OR($E$12="Flow",$E$12="Volume"),D80&lt;&gt;"",F80&lt;&gt;"",C80&lt;&gt;""),"X",AND($E$12="Depth",$E$10&lt;&gt;"",$E$8&lt;&gt;"",D80&lt;&gt;"",F80&lt;&gt;"",C80&lt;&gt;""),"X",AND($E$12="Load",D80&lt;="",E80&lt;&gt;"",F80&lt;&gt;"",G80&lt;&gt;"",C80&lt;&gt;""),"X",AND($E$12="Yield",D80&lt;="",E80&lt;&gt;"",F80&lt;&gt;"",G80&lt;&gt;"",$E$8&lt;&gt;"",$E$10&lt;&gt;"",C80&lt;&gt;""),"X",C80="","",1&gt;0,"")</f>
        <v/>
      </c>
      <c r="I80" s="7"/>
      <c r="J80" s="121" t="str" cm="1">
        <f t="array" ref="J80">_xlfn.IFS(AND($E$12="Concentration",E80&lt;&gt;""),E80,AND(OR($E$12="Volume", $E$12="Flow"),D80&lt;&gt;""),D80,AND($E$12="Load",D80&lt;&gt;"",E80&lt;&gt;""),D80*E80*conv_fact,AND($E$12="Yield",D80&lt;&gt;"",E80&lt;&gt;"", $E$8&lt;&gt;""),D80*E80*conv_fact/$E$8,AND($E$12="Depth",D80&lt;&gt;"",$E$8&lt;&gt;""),D80*conv_fact/$E$8,OR(D80="",E80=""),"")</f>
        <v/>
      </c>
      <c r="K80" s="121" t="str" cm="1">
        <f t="array" ref="K80">_xlfn.IFS(AND($E$12="Concentration",G80&lt;&gt;""),G80,AND(OR($E$12="Volume", $E$12="Flow"),F80&lt;&gt;""),F80,AND($E$12="Load",F80&lt;&gt;"",G80&lt;&gt;""),F80*G80*conv_fact,AND($E$12="Yield",F80&lt;&gt;"",G80&lt;&gt;"", $E$10&lt;&gt;""),F80*G80*conv_fact/$E$10, AND($E$12="Depth",F80&lt;&gt;"",$E$10&lt;&gt;""),F80*conv_fact/$E$10,OR(F80="",G80=""),"")</f>
        <v/>
      </c>
      <c r="L80" s="118" t="e">
        <f t="shared" si="23"/>
        <v>#N/A</v>
      </c>
      <c r="M80" s="118" t="e">
        <f t="shared" si="24"/>
        <v>#N/A</v>
      </c>
      <c r="O80" s="3" t="str">
        <f t="shared" si="25"/>
        <v/>
      </c>
      <c r="P80" s="3" t="str">
        <f t="shared" si="9"/>
        <v/>
      </c>
      <c r="Q80" t="str">
        <f t="shared" si="31"/>
        <v/>
      </c>
      <c r="S80" s="20" t="str">
        <v/>
      </c>
      <c r="T80" s="20" t="str">
        <f t="shared" si="26"/>
        <v/>
      </c>
      <c r="U80" t="str">
        <f t="shared" si="10"/>
        <v/>
      </c>
      <c r="V80" s="3" t="str">
        <f t="shared" si="32"/>
        <v/>
      </c>
      <c r="W80" s="20" t="str">
        <v/>
      </c>
      <c r="X80" s="20" t="str">
        <f t="shared" si="27"/>
        <v/>
      </c>
      <c r="Y80" t="str">
        <f t="shared" si="11"/>
        <v/>
      </c>
      <c r="AA80" t="str">
        <f t="shared" si="28"/>
        <v/>
      </c>
      <c r="AB80" t="str">
        <f t="shared" si="29"/>
        <v/>
      </c>
      <c r="AF80" s="20"/>
      <c r="AJ80" t="str">
        <f t="shared" si="30"/>
        <v/>
      </c>
      <c r="AK80" t="str">
        <f t="shared" si="16"/>
        <v/>
      </c>
      <c r="AL80" t="str">
        <f t="shared" si="17"/>
        <v/>
      </c>
      <c r="AM80" t="str">
        <f t="shared" si="12"/>
        <v/>
      </c>
      <c r="AN80" t="str">
        <f t="shared" si="13"/>
        <v/>
      </c>
      <c r="AQ80" s="20" t="str">
        <f t="shared" si="19"/>
        <v/>
      </c>
      <c r="AR80" s="3" t="str">
        <f t="shared" si="20"/>
        <v/>
      </c>
      <c r="AS80" s="3" t="str">
        <f t="shared" si="21"/>
        <v/>
      </c>
      <c r="AT80" t="str">
        <f t="shared" si="22"/>
        <v/>
      </c>
    </row>
    <row r="81" spans="1:46" x14ac:dyDescent="0.3">
      <c r="A81" s="7"/>
      <c r="B81" s="14" t="str">
        <f t="shared" si="7"/>
        <v/>
      </c>
      <c r="C81" s="25"/>
      <c r="D81" s="81"/>
      <c r="E81" s="81"/>
      <c r="F81" s="81"/>
      <c r="G81" s="81"/>
      <c r="H81" s="13" t="str" cm="1">
        <f t="array" ref="H81">_xlfn.IFS(AND($E$12="Concentration",E81&lt;&gt;"",G81&lt;&gt;"",C81&lt;&gt;""),"X",AND(OR($E$12="Flow",$E$12="Volume"),D81&lt;&gt;"",F81&lt;&gt;"",C81&lt;&gt;""),"X",AND($E$12="Depth",$E$10&lt;&gt;"",$E$8&lt;&gt;"",D81&lt;&gt;"",F81&lt;&gt;"",C81&lt;&gt;""),"X",AND($E$12="Load",D81&lt;="",E81&lt;&gt;"",F81&lt;&gt;"",G81&lt;&gt;"",C81&lt;&gt;""),"X",AND($E$12="Yield",D81&lt;="",E81&lt;&gt;"",F81&lt;&gt;"",G81&lt;&gt;"",$E$8&lt;&gt;"",$E$10&lt;&gt;"",C81&lt;&gt;""),"X",C81="","",1&gt;0,"")</f>
        <v/>
      </c>
      <c r="I81" s="7"/>
      <c r="J81" s="121" t="str" cm="1">
        <f t="array" ref="J81">_xlfn.IFS(AND($E$12="Concentration",E81&lt;&gt;""),E81,AND(OR($E$12="Volume", $E$12="Flow"),D81&lt;&gt;""),D81,AND($E$12="Load",D81&lt;&gt;"",E81&lt;&gt;""),D81*E81*conv_fact,AND($E$12="Yield",D81&lt;&gt;"",E81&lt;&gt;"", $E$8&lt;&gt;""),D81*E81*conv_fact/$E$8,AND($E$12="Depth",D81&lt;&gt;"",$E$8&lt;&gt;""),D81*conv_fact/$E$8,OR(D81="",E81=""),"")</f>
        <v/>
      </c>
      <c r="K81" s="121" t="str" cm="1">
        <f t="array" ref="K81">_xlfn.IFS(AND($E$12="Concentration",G81&lt;&gt;""),G81,AND(OR($E$12="Volume", $E$12="Flow"),F81&lt;&gt;""),F81,AND($E$12="Load",F81&lt;&gt;"",G81&lt;&gt;""),F81*G81*conv_fact,AND($E$12="Yield",F81&lt;&gt;"",G81&lt;&gt;"", $E$10&lt;&gt;""),F81*G81*conv_fact/$E$10, AND($E$12="Depth",F81&lt;&gt;"",$E$10&lt;&gt;""),F81*conv_fact/$E$10,OR(F81="",G81=""),"")</f>
        <v/>
      </c>
      <c r="L81" s="118" t="e">
        <f t="shared" si="23"/>
        <v>#N/A</v>
      </c>
      <c r="M81" s="118" t="e">
        <f t="shared" si="24"/>
        <v>#N/A</v>
      </c>
      <c r="O81" s="3" t="str">
        <f t="shared" si="25"/>
        <v/>
      </c>
      <c r="P81" s="3" t="str">
        <f t="shared" si="9"/>
        <v/>
      </c>
      <c r="Q81" t="str">
        <f t="shared" si="31"/>
        <v/>
      </c>
      <c r="S81" s="20" t="str">
        <v/>
      </c>
      <c r="T81" s="20" t="str">
        <f t="shared" si="26"/>
        <v/>
      </c>
      <c r="U81" t="str">
        <f t="shared" si="10"/>
        <v/>
      </c>
      <c r="V81" s="3" t="str">
        <f t="shared" si="32"/>
        <v/>
      </c>
      <c r="W81" s="20" t="str">
        <v/>
      </c>
      <c r="X81" s="20" t="str">
        <f t="shared" si="27"/>
        <v/>
      </c>
      <c r="Y81" t="str">
        <f t="shared" si="11"/>
        <v/>
      </c>
      <c r="AA81" t="str">
        <f t="shared" si="28"/>
        <v/>
      </c>
      <c r="AB81" t="str">
        <f t="shared" si="29"/>
        <v/>
      </c>
      <c r="AF81" s="20"/>
      <c r="AJ81" t="str">
        <f t="shared" si="30"/>
        <v/>
      </c>
      <c r="AK81" t="str">
        <f t="shared" si="16"/>
        <v/>
      </c>
      <c r="AL81" t="str">
        <f t="shared" si="17"/>
        <v/>
      </c>
      <c r="AM81" t="str">
        <f t="shared" si="12"/>
        <v/>
      </c>
      <c r="AN81" t="str">
        <f t="shared" si="13"/>
        <v/>
      </c>
      <c r="AQ81" s="20" t="str">
        <f t="shared" ref="AQ81:AQ105" si="33">IF(AP81&lt;&gt;"",(AP81-AVERAGE($AR$9:$AR$119))^2, "")</f>
        <v/>
      </c>
      <c r="AR81" s="3" t="str">
        <f t="shared" ref="AR81:AR105" si="34">IF(AO81&lt;&gt;"", _xlfn.NORM.S.INV((AO81-0.375)/($AR$6+0.25)), "")</f>
        <v/>
      </c>
      <c r="AS81" s="3" t="str">
        <f t="shared" ref="AS81:AS105" si="35">IF(AO81&lt;&gt;"", (SUMSQ($AT$9:$AT$119))^(-0.5)*AR81, "")</f>
        <v/>
      </c>
      <c r="AT81" t="str">
        <f t="shared" ref="AT81:AT105" si="36">IF(AO81="", "", IF(AO81=$AR$6,AS81+0.221157*(1/SQRT($AR$6))-0.147981*(1/SQRT($AR$6))^2-2.07119*(1/SQRT($AR$6))^3+4.434685*(1/SQRT($AR$6))^4-2.706056*(1/SQRT($AR$6))^5, IF(AO81=($AR$6-1),AS81+0.042981*(1/SQRT($AR$6))-0.293762*(1/SQRT($AR$6))^2-1.752461*(1/SQRT($AR$6))^3+5.682633*(1/SQRT($AR$6))^4-3.582663*(1/SQRT($AR$6))^5,AR81/SQRT($AZ$9))))</f>
        <v/>
      </c>
    </row>
    <row r="82" spans="1:46" x14ac:dyDescent="0.3">
      <c r="A82" s="7"/>
      <c r="B82" s="14" t="str">
        <f t="shared" si="7"/>
        <v/>
      </c>
      <c r="C82" s="25"/>
      <c r="D82" s="81"/>
      <c r="E82" s="81"/>
      <c r="F82" s="81"/>
      <c r="G82" s="81"/>
      <c r="H82" s="13" t="str" cm="1">
        <f t="array" ref="H82">_xlfn.IFS(AND($E$12="Concentration",E82&lt;&gt;"",G82&lt;&gt;"",C82&lt;&gt;""),"X",AND(OR($E$12="Flow",$E$12="Volume"),D82&lt;&gt;"",F82&lt;&gt;"",C82&lt;&gt;""),"X",AND($E$12="Depth",$E$10&lt;&gt;"",$E$8&lt;&gt;"",D82&lt;&gt;"",F82&lt;&gt;"",C82&lt;&gt;""),"X",AND($E$12="Load",D82&lt;="",E82&lt;&gt;"",F82&lt;&gt;"",G82&lt;&gt;"",C82&lt;&gt;""),"X",AND($E$12="Yield",D82&lt;="",E82&lt;&gt;"",F82&lt;&gt;"",G82&lt;&gt;"",$E$8&lt;&gt;"",$E$10&lt;&gt;"",C82&lt;&gt;""),"X",C82="","",1&gt;0,"")</f>
        <v/>
      </c>
      <c r="I82" s="7"/>
      <c r="J82" s="121" t="str" cm="1">
        <f t="array" ref="J82">_xlfn.IFS(AND($E$12="Concentration",E82&lt;&gt;""),E82,AND(OR($E$12="Volume", $E$12="Flow"),D82&lt;&gt;""),D82,AND($E$12="Load",D82&lt;&gt;"",E82&lt;&gt;""),D82*E82*conv_fact,AND($E$12="Yield",D82&lt;&gt;"",E82&lt;&gt;"", $E$8&lt;&gt;""),D82*E82*conv_fact/$E$8,AND($E$12="Depth",D82&lt;&gt;"",$E$8&lt;&gt;""),D82*conv_fact/$E$8,OR(D82="",E82=""),"")</f>
        <v/>
      </c>
      <c r="K82" s="121" t="str" cm="1">
        <f t="array" ref="K82">_xlfn.IFS(AND($E$12="Concentration",G82&lt;&gt;""),G82,AND(OR($E$12="Volume", $E$12="Flow"),F82&lt;&gt;""),F82,AND($E$12="Load",F82&lt;&gt;"",G82&lt;&gt;""),F82*G82*conv_fact,AND($E$12="Yield",F82&lt;&gt;"",G82&lt;&gt;"", $E$10&lt;&gt;""),F82*G82*conv_fact/$E$10, AND($E$12="Depth",F82&lt;&gt;"",$E$10&lt;&gt;""),F82*conv_fact/$E$10,OR(F82="",G82=""),"")</f>
        <v/>
      </c>
      <c r="L82" s="118" t="e">
        <f t="shared" si="23"/>
        <v>#N/A</v>
      </c>
      <c r="M82" s="118" t="e">
        <f t="shared" si="24"/>
        <v>#N/A</v>
      </c>
      <c r="O82" s="3" t="str">
        <f t="shared" si="25"/>
        <v/>
      </c>
      <c r="P82" s="3" t="str">
        <f t="shared" si="9"/>
        <v/>
      </c>
      <c r="Q82" t="str">
        <f t="shared" si="31"/>
        <v/>
      </c>
      <c r="S82" s="20" t="str">
        <v/>
      </c>
      <c r="T82" s="20" t="str">
        <f t="shared" si="26"/>
        <v/>
      </c>
      <c r="U82" t="str">
        <f t="shared" si="10"/>
        <v/>
      </c>
      <c r="V82" s="3" t="str">
        <f t="shared" si="32"/>
        <v/>
      </c>
      <c r="W82" s="20" t="str">
        <v/>
      </c>
      <c r="X82" s="20" t="str">
        <f t="shared" si="27"/>
        <v/>
      </c>
      <c r="Y82" t="str">
        <f t="shared" si="11"/>
        <v/>
      </c>
      <c r="AA82" t="str">
        <f t="shared" si="28"/>
        <v/>
      </c>
      <c r="AB82" t="str">
        <f t="shared" si="29"/>
        <v/>
      </c>
      <c r="AF82" s="20"/>
      <c r="AJ82" t="str">
        <f t="shared" si="30"/>
        <v/>
      </c>
      <c r="AK82" t="str">
        <f t="shared" si="16"/>
        <v/>
      </c>
      <c r="AL82" t="str">
        <f t="shared" si="17"/>
        <v/>
      </c>
      <c r="AM82" t="str">
        <f t="shared" si="12"/>
        <v/>
      </c>
      <c r="AN82" t="str">
        <f t="shared" si="13"/>
        <v/>
      </c>
      <c r="AQ82" s="20" t="str">
        <f t="shared" si="33"/>
        <v/>
      </c>
      <c r="AR82" s="3" t="str">
        <f t="shared" si="34"/>
        <v/>
      </c>
      <c r="AS82" s="3" t="str">
        <f t="shared" si="35"/>
        <v/>
      </c>
      <c r="AT82" t="str">
        <f t="shared" si="36"/>
        <v/>
      </c>
    </row>
    <row r="83" spans="1:46" x14ac:dyDescent="0.3">
      <c r="A83" s="7"/>
      <c r="B83" s="14" t="str">
        <f t="shared" si="7"/>
        <v/>
      </c>
      <c r="C83" s="25"/>
      <c r="D83" s="81"/>
      <c r="E83" s="81"/>
      <c r="F83" s="81"/>
      <c r="G83" s="81"/>
      <c r="H83" s="13" t="str" cm="1">
        <f t="array" ref="H83">_xlfn.IFS(AND($E$12="Concentration",E83&lt;&gt;"",G83&lt;&gt;"",C83&lt;&gt;""),"X",AND(OR($E$12="Flow",$E$12="Volume"),D83&lt;&gt;"",F83&lt;&gt;"",C83&lt;&gt;""),"X",AND($E$12="Depth",$E$10&lt;&gt;"",$E$8&lt;&gt;"",D83&lt;&gt;"",F83&lt;&gt;"",C83&lt;&gt;""),"X",AND($E$12="Load",D83&lt;="",E83&lt;&gt;"",F83&lt;&gt;"",G83&lt;&gt;"",C83&lt;&gt;""),"X",AND($E$12="Yield",D83&lt;="",E83&lt;&gt;"",F83&lt;&gt;"",G83&lt;&gt;"",$E$8&lt;&gt;"",$E$10&lt;&gt;"",C83&lt;&gt;""),"X",C83="","",1&gt;0,"")</f>
        <v/>
      </c>
      <c r="I83" s="7"/>
      <c r="J83" s="121" t="str" cm="1">
        <f t="array" ref="J83">_xlfn.IFS(AND($E$12="Concentration",E83&lt;&gt;""),E83,AND(OR($E$12="Volume", $E$12="Flow"),D83&lt;&gt;""),D83,AND($E$12="Load",D83&lt;&gt;"",E83&lt;&gt;""),D83*E83*conv_fact,AND($E$12="Yield",D83&lt;&gt;"",E83&lt;&gt;"", $E$8&lt;&gt;""),D83*E83*conv_fact/$E$8,AND($E$12="Depth",D83&lt;&gt;"",$E$8&lt;&gt;""),D83*conv_fact/$E$8,OR(D83="",E83=""),"")</f>
        <v/>
      </c>
      <c r="K83" s="121" t="str" cm="1">
        <f t="array" ref="K83">_xlfn.IFS(AND($E$12="Concentration",G83&lt;&gt;""),G83,AND(OR($E$12="Volume", $E$12="Flow"),F83&lt;&gt;""),F83,AND($E$12="Load",F83&lt;&gt;"",G83&lt;&gt;""),F83*G83*conv_fact,AND($E$12="Yield",F83&lt;&gt;"",G83&lt;&gt;"", $E$10&lt;&gt;""),F83*G83*conv_fact/$E$10, AND($E$12="Depth",F83&lt;&gt;"",$E$10&lt;&gt;""),F83*conv_fact/$E$10,OR(F83="",G83=""),"")</f>
        <v/>
      </c>
      <c r="L83" s="118" t="e">
        <f t="shared" si="23"/>
        <v>#N/A</v>
      </c>
      <c r="M83" s="118" t="e">
        <f t="shared" si="24"/>
        <v>#N/A</v>
      </c>
      <c r="O83" s="3" t="str">
        <f t="shared" si="25"/>
        <v/>
      </c>
      <c r="P83" s="3" t="str">
        <f t="shared" si="9"/>
        <v/>
      </c>
      <c r="Q83" t="str">
        <f t="shared" si="31"/>
        <v/>
      </c>
      <c r="S83" s="20" t="str">
        <v/>
      </c>
      <c r="T83" s="20" t="str">
        <f t="shared" si="26"/>
        <v/>
      </c>
      <c r="U83" t="str">
        <f t="shared" si="10"/>
        <v/>
      </c>
      <c r="V83" s="3" t="str">
        <f t="shared" si="32"/>
        <v/>
      </c>
      <c r="W83" s="20" t="str">
        <v/>
      </c>
      <c r="X83" s="20" t="str">
        <f t="shared" si="27"/>
        <v/>
      </c>
      <c r="Y83" t="str">
        <f t="shared" si="11"/>
        <v/>
      </c>
      <c r="AA83" t="str">
        <f t="shared" si="28"/>
        <v/>
      </c>
      <c r="AB83" t="str">
        <f t="shared" si="29"/>
        <v/>
      </c>
      <c r="AF83" s="20"/>
      <c r="AJ83" t="str">
        <f t="shared" si="30"/>
        <v/>
      </c>
      <c r="AK83" t="str">
        <f t="shared" si="16"/>
        <v/>
      </c>
      <c r="AL83" t="str">
        <f t="shared" si="17"/>
        <v/>
      </c>
      <c r="AM83" t="str">
        <f t="shared" si="12"/>
        <v/>
      </c>
      <c r="AN83" t="str">
        <f t="shared" si="13"/>
        <v/>
      </c>
      <c r="AQ83" s="20" t="str">
        <f t="shared" si="33"/>
        <v/>
      </c>
      <c r="AR83" s="3" t="str">
        <f t="shared" si="34"/>
        <v/>
      </c>
      <c r="AS83" s="3" t="str">
        <f t="shared" si="35"/>
        <v/>
      </c>
      <c r="AT83" t="str">
        <f t="shared" si="36"/>
        <v/>
      </c>
    </row>
    <row r="84" spans="1:46" x14ac:dyDescent="0.3">
      <c r="A84" s="7"/>
      <c r="B84" s="14" t="str">
        <f t="shared" si="7"/>
        <v/>
      </c>
      <c r="C84" s="25"/>
      <c r="D84" s="81"/>
      <c r="E84" s="81"/>
      <c r="F84" s="81"/>
      <c r="G84" s="81"/>
      <c r="H84" s="13" t="str" cm="1">
        <f t="array" ref="H84">_xlfn.IFS(AND($E$12="Concentration",E84&lt;&gt;"",G84&lt;&gt;"",C84&lt;&gt;""),"X",AND(OR($E$12="Flow",$E$12="Volume"),D84&lt;&gt;"",F84&lt;&gt;"",C84&lt;&gt;""),"X",AND($E$12="Depth",$E$10&lt;&gt;"",$E$8&lt;&gt;"",D84&lt;&gt;"",F84&lt;&gt;"",C84&lt;&gt;""),"X",AND($E$12="Load",D84&lt;="",E84&lt;&gt;"",F84&lt;&gt;"",G84&lt;&gt;"",C84&lt;&gt;""),"X",AND($E$12="Yield",D84&lt;="",E84&lt;&gt;"",F84&lt;&gt;"",G84&lt;&gt;"",$E$8&lt;&gt;"",$E$10&lt;&gt;"",C84&lt;&gt;""),"X",C84="","",1&gt;0,"")</f>
        <v/>
      </c>
      <c r="I84" s="7"/>
      <c r="J84" s="121" t="str" cm="1">
        <f t="array" ref="J84">_xlfn.IFS(AND($E$12="Concentration",E84&lt;&gt;""),E84,AND(OR($E$12="Volume", $E$12="Flow"),D84&lt;&gt;""),D84,AND($E$12="Load",D84&lt;&gt;"",E84&lt;&gt;""),D84*E84*conv_fact,AND($E$12="Yield",D84&lt;&gt;"",E84&lt;&gt;"", $E$8&lt;&gt;""),D84*E84*conv_fact/$E$8,AND($E$12="Depth",D84&lt;&gt;"",$E$8&lt;&gt;""),D84*conv_fact/$E$8,OR(D84="",E84=""),"")</f>
        <v/>
      </c>
      <c r="K84" s="121" t="str" cm="1">
        <f t="array" ref="K84">_xlfn.IFS(AND($E$12="Concentration",G84&lt;&gt;""),G84,AND(OR($E$12="Volume", $E$12="Flow"),F84&lt;&gt;""),F84,AND($E$12="Load",F84&lt;&gt;"",G84&lt;&gt;""),F84*G84*conv_fact,AND($E$12="Yield",F84&lt;&gt;"",G84&lt;&gt;"", $E$10&lt;&gt;""),F84*G84*conv_fact/$E$10, AND($E$12="Depth",F84&lt;&gt;"",$E$10&lt;&gt;""),F84*conv_fact/$E$10,OR(F84="",G84=""),"")</f>
        <v/>
      </c>
      <c r="L84" s="118" t="e">
        <f t="shared" si="23"/>
        <v>#N/A</v>
      </c>
      <c r="M84" s="118" t="e">
        <f t="shared" si="24"/>
        <v>#N/A</v>
      </c>
      <c r="O84" s="3" t="str">
        <f t="shared" si="25"/>
        <v/>
      </c>
      <c r="P84" s="3" t="str">
        <f t="shared" si="9"/>
        <v/>
      </c>
      <c r="Q84" t="str">
        <f t="shared" si="31"/>
        <v/>
      </c>
      <c r="S84" s="20" t="str">
        <v/>
      </c>
      <c r="T84" s="20" t="str">
        <f t="shared" si="26"/>
        <v/>
      </c>
      <c r="U84" t="str">
        <f t="shared" si="10"/>
        <v/>
      </c>
      <c r="V84" s="3" t="str">
        <f t="shared" si="32"/>
        <v/>
      </c>
      <c r="W84" s="20" t="str">
        <v/>
      </c>
      <c r="X84" s="20" t="str">
        <f t="shared" si="27"/>
        <v/>
      </c>
      <c r="Y84" t="str">
        <f t="shared" si="11"/>
        <v/>
      </c>
      <c r="AA84" t="str">
        <f t="shared" si="28"/>
        <v/>
      </c>
      <c r="AB84" t="str">
        <f t="shared" si="29"/>
        <v/>
      </c>
      <c r="AF84" s="20"/>
      <c r="AJ84" t="str">
        <f t="shared" si="30"/>
        <v/>
      </c>
      <c r="AK84" t="str">
        <f t="shared" si="16"/>
        <v/>
      </c>
      <c r="AL84" t="str">
        <f t="shared" si="17"/>
        <v/>
      </c>
      <c r="AM84" t="str">
        <f t="shared" si="12"/>
        <v/>
      </c>
      <c r="AN84" t="str">
        <f t="shared" si="13"/>
        <v/>
      </c>
      <c r="AQ84" s="20" t="str">
        <f t="shared" si="33"/>
        <v/>
      </c>
      <c r="AR84" s="3" t="str">
        <f t="shared" si="34"/>
        <v/>
      </c>
      <c r="AS84" s="3" t="str">
        <f t="shared" si="35"/>
        <v/>
      </c>
      <c r="AT84" t="str">
        <f t="shared" si="36"/>
        <v/>
      </c>
    </row>
    <row r="85" spans="1:46" x14ac:dyDescent="0.3">
      <c r="A85" s="7"/>
      <c r="B85" s="14" t="str">
        <f t="shared" si="7"/>
        <v/>
      </c>
      <c r="C85" s="25"/>
      <c r="D85" s="81"/>
      <c r="E85" s="81"/>
      <c r="F85" s="81"/>
      <c r="G85" s="81"/>
      <c r="H85" s="13" t="str" cm="1">
        <f t="array" ref="H85">_xlfn.IFS(AND($E$12="Concentration",E85&lt;&gt;"",G85&lt;&gt;"",C85&lt;&gt;""),"X",AND(OR($E$12="Flow",$E$12="Volume"),D85&lt;&gt;"",F85&lt;&gt;"",C85&lt;&gt;""),"X",AND($E$12="Depth",$E$10&lt;&gt;"",$E$8&lt;&gt;"",D85&lt;&gt;"",F85&lt;&gt;"",C85&lt;&gt;""),"X",AND($E$12="Load",D85&lt;="",E85&lt;&gt;"",F85&lt;&gt;"",G85&lt;&gt;"",C85&lt;&gt;""),"X",AND($E$12="Yield",D85&lt;="",E85&lt;&gt;"",F85&lt;&gt;"",G85&lt;&gt;"",$E$8&lt;&gt;"",$E$10&lt;&gt;"",C85&lt;&gt;""),"X",C85="","",1&gt;0,"")</f>
        <v/>
      </c>
      <c r="I85" s="7"/>
      <c r="J85" s="121" t="str" cm="1">
        <f t="array" ref="J85">_xlfn.IFS(AND($E$12="Concentration",E85&lt;&gt;""),E85,AND(OR($E$12="Volume", $E$12="Flow"),D85&lt;&gt;""),D85,AND($E$12="Load",D85&lt;&gt;"",E85&lt;&gt;""),D85*E85*conv_fact,AND($E$12="Yield",D85&lt;&gt;"",E85&lt;&gt;"", $E$8&lt;&gt;""),D85*E85*conv_fact/$E$8,AND($E$12="Depth",D85&lt;&gt;"",$E$8&lt;&gt;""),D85*conv_fact/$E$8,OR(D85="",E85=""),"")</f>
        <v/>
      </c>
      <c r="K85" s="121" t="str" cm="1">
        <f t="array" ref="K85">_xlfn.IFS(AND($E$12="Concentration",G85&lt;&gt;""),G85,AND(OR($E$12="Volume", $E$12="Flow"),F85&lt;&gt;""),F85,AND($E$12="Load",F85&lt;&gt;"",G85&lt;&gt;""),F85*G85*conv_fact,AND($E$12="Yield",F85&lt;&gt;"",G85&lt;&gt;"", $E$10&lt;&gt;""),F85*G85*conv_fact/$E$10, AND($E$12="Depth",F85&lt;&gt;"",$E$10&lt;&gt;""),F85*conv_fact/$E$10,OR(F85="",G85=""),"")</f>
        <v/>
      </c>
      <c r="L85" s="118" t="e">
        <f t="shared" si="23"/>
        <v>#N/A</v>
      </c>
      <c r="M85" s="118" t="e">
        <f t="shared" si="24"/>
        <v>#N/A</v>
      </c>
      <c r="O85" s="3" t="str">
        <f t="shared" si="25"/>
        <v/>
      </c>
      <c r="P85" s="3" t="str">
        <f t="shared" si="9"/>
        <v/>
      </c>
      <c r="Q85" t="str">
        <f t="shared" si="31"/>
        <v/>
      </c>
      <c r="S85" s="20" t="str">
        <v/>
      </c>
      <c r="T85" s="20" t="str">
        <f t="shared" si="26"/>
        <v/>
      </c>
      <c r="U85" t="str">
        <f t="shared" si="10"/>
        <v/>
      </c>
      <c r="V85" s="3" t="str">
        <f t="shared" si="32"/>
        <v/>
      </c>
      <c r="W85" s="20" t="str">
        <v/>
      </c>
      <c r="X85" s="20" t="str">
        <f t="shared" si="27"/>
        <v/>
      </c>
      <c r="Y85" t="str">
        <f t="shared" si="11"/>
        <v/>
      </c>
      <c r="AA85" t="str">
        <f t="shared" si="28"/>
        <v/>
      </c>
      <c r="AB85" t="str">
        <f t="shared" si="29"/>
        <v/>
      </c>
      <c r="AF85" s="20"/>
      <c r="AJ85" t="str">
        <f t="shared" si="30"/>
        <v/>
      </c>
      <c r="AK85" t="str">
        <f t="shared" si="16"/>
        <v/>
      </c>
      <c r="AL85" t="str">
        <f t="shared" si="17"/>
        <v/>
      </c>
      <c r="AM85" t="str">
        <f t="shared" si="12"/>
        <v/>
      </c>
      <c r="AN85" t="str">
        <f t="shared" si="13"/>
        <v/>
      </c>
      <c r="AQ85" s="20" t="str">
        <f t="shared" si="33"/>
        <v/>
      </c>
      <c r="AR85" s="3" t="str">
        <f t="shared" si="34"/>
        <v/>
      </c>
      <c r="AS85" s="3" t="str">
        <f t="shared" si="35"/>
        <v/>
      </c>
      <c r="AT85" t="str">
        <f t="shared" si="36"/>
        <v/>
      </c>
    </row>
    <row r="86" spans="1:46" x14ac:dyDescent="0.3">
      <c r="A86" s="7"/>
      <c r="B86" s="14" t="str">
        <f t="shared" si="7"/>
        <v/>
      </c>
      <c r="C86" s="25"/>
      <c r="D86" s="81"/>
      <c r="E86" s="81"/>
      <c r="F86" s="81"/>
      <c r="G86" s="81"/>
      <c r="H86" s="13" t="str" cm="1">
        <f t="array" ref="H86">_xlfn.IFS(AND($E$12="Concentration",E86&lt;&gt;"",G86&lt;&gt;"",C86&lt;&gt;""),"X",AND(OR($E$12="Flow",$E$12="Volume"),D86&lt;&gt;"",F86&lt;&gt;"",C86&lt;&gt;""),"X",AND($E$12="Depth",$E$10&lt;&gt;"",$E$8&lt;&gt;"",D86&lt;&gt;"",F86&lt;&gt;"",C86&lt;&gt;""),"X",AND($E$12="Load",D86&lt;="",E86&lt;&gt;"",F86&lt;&gt;"",G86&lt;&gt;"",C86&lt;&gt;""),"X",AND($E$12="Yield",D86&lt;="",E86&lt;&gt;"",F86&lt;&gt;"",G86&lt;&gt;"",$E$8&lt;&gt;"",$E$10&lt;&gt;"",C86&lt;&gt;""),"X",C86="","",1&gt;0,"")</f>
        <v/>
      </c>
      <c r="I86" s="7"/>
      <c r="J86" s="121" t="str" cm="1">
        <f t="array" ref="J86">_xlfn.IFS(AND($E$12="Concentration",E86&lt;&gt;""),E86,AND(OR($E$12="Volume", $E$12="Flow"),D86&lt;&gt;""),D86,AND($E$12="Load",D86&lt;&gt;"",E86&lt;&gt;""),D86*E86*conv_fact,AND($E$12="Yield",D86&lt;&gt;"",E86&lt;&gt;"", $E$8&lt;&gt;""),D86*E86*conv_fact/$E$8,AND($E$12="Depth",D86&lt;&gt;"",$E$8&lt;&gt;""),D86*conv_fact/$E$8,OR(D86="",E86=""),"")</f>
        <v/>
      </c>
      <c r="K86" s="121" t="str" cm="1">
        <f t="array" ref="K86">_xlfn.IFS(AND($E$12="Concentration",G86&lt;&gt;""),G86,AND(OR($E$12="Volume", $E$12="Flow"),F86&lt;&gt;""),F86,AND($E$12="Load",F86&lt;&gt;"",G86&lt;&gt;""),F86*G86*conv_fact,AND($E$12="Yield",F86&lt;&gt;"",G86&lt;&gt;"", $E$10&lt;&gt;""),F86*G86*conv_fact/$E$10, AND($E$12="Depth",F86&lt;&gt;"",$E$10&lt;&gt;""),F86*conv_fact/$E$10,OR(F86="",G86=""),"")</f>
        <v/>
      </c>
      <c r="L86" s="118" t="e">
        <f t="shared" si="23"/>
        <v>#N/A</v>
      </c>
      <c r="M86" s="118" t="e">
        <f t="shared" si="24"/>
        <v>#N/A</v>
      </c>
      <c r="O86" s="3" t="str">
        <f t="shared" si="25"/>
        <v/>
      </c>
      <c r="P86" s="3" t="str">
        <f t="shared" si="9"/>
        <v/>
      </c>
      <c r="Q86" t="str">
        <f t="shared" si="31"/>
        <v/>
      </c>
      <c r="S86" s="20" t="str">
        <v/>
      </c>
      <c r="T86" s="20" t="str">
        <f t="shared" si="26"/>
        <v/>
      </c>
      <c r="U86" t="str">
        <f t="shared" si="10"/>
        <v/>
      </c>
      <c r="V86" s="3" t="str">
        <f t="shared" si="32"/>
        <v/>
      </c>
      <c r="W86" s="20" t="str">
        <v/>
      </c>
      <c r="X86" s="20" t="str">
        <f t="shared" si="27"/>
        <v/>
      </c>
      <c r="Y86" t="str">
        <f t="shared" si="11"/>
        <v/>
      </c>
      <c r="AA86" t="str">
        <f t="shared" si="28"/>
        <v/>
      </c>
      <c r="AB86" t="str">
        <f t="shared" si="29"/>
        <v/>
      </c>
      <c r="AF86" s="20"/>
      <c r="AJ86" t="str">
        <f t="shared" si="30"/>
        <v/>
      </c>
      <c r="AK86" t="str">
        <f t="shared" si="16"/>
        <v/>
      </c>
      <c r="AL86" t="str">
        <f t="shared" si="17"/>
        <v/>
      </c>
      <c r="AM86" t="str">
        <f t="shared" si="12"/>
        <v/>
      </c>
      <c r="AN86" t="str">
        <f t="shared" si="13"/>
        <v/>
      </c>
      <c r="AQ86" s="20" t="str">
        <f t="shared" si="33"/>
        <v/>
      </c>
      <c r="AR86" s="3" t="str">
        <f t="shared" si="34"/>
        <v/>
      </c>
      <c r="AS86" s="3" t="str">
        <f t="shared" si="35"/>
        <v/>
      </c>
      <c r="AT86" t="str">
        <f t="shared" si="36"/>
        <v/>
      </c>
    </row>
    <row r="87" spans="1:46" x14ac:dyDescent="0.3">
      <c r="A87" s="7"/>
      <c r="B87" s="14" t="str">
        <f t="shared" si="7"/>
        <v/>
      </c>
      <c r="C87" s="25"/>
      <c r="D87" s="81"/>
      <c r="E87" s="81"/>
      <c r="F87" s="81"/>
      <c r="G87" s="81"/>
      <c r="H87" s="13" t="str" cm="1">
        <f t="array" ref="H87">_xlfn.IFS(AND($E$12="Concentration",E87&lt;&gt;"",G87&lt;&gt;"",C87&lt;&gt;""),"X",AND(OR($E$12="Flow",$E$12="Volume"),D87&lt;&gt;"",F87&lt;&gt;"",C87&lt;&gt;""),"X",AND($E$12="Depth",$E$10&lt;&gt;"",$E$8&lt;&gt;"",D87&lt;&gt;"",F87&lt;&gt;"",C87&lt;&gt;""),"X",AND($E$12="Load",D87&lt;="",E87&lt;&gt;"",F87&lt;&gt;"",G87&lt;&gt;"",C87&lt;&gt;""),"X",AND($E$12="Yield",D87&lt;="",E87&lt;&gt;"",F87&lt;&gt;"",G87&lt;&gt;"",$E$8&lt;&gt;"",$E$10&lt;&gt;"",C87&lt;&gt;""),"X",C87="","",1&gt;0,"")</f>
        <v/>
      </c>
      <c r="I87" s="7"/>
      <c r="J87" s="121" t="str" cm="1">
        <f t="array" ref="J87">_xlfn.IFS(AND($E$12="Concentration",E87&lt;&gt;""),E87,AND(OR($E$12="Volume", $E$12="Flow"),D87&lt;&gt;""),D87,AND($E$12="Load",D87&lt;&gt;"",E87&lt;&gt;""),D87*E87*conv_fact,AND($E$12="Yield",D87&lt;&gt;"",E87&lt;&gt;"", $E$8&lt;&gt;""),D87*E87*conv_fact/$E$8,AND($E$12="Depth",D87&lt;&gt;"",$E$8&lt;&gt;""),D87*conv_fact/$E$8,OR(D87="",E87=""),"")</f>
        <v/>
      </c>
      <c r="K87" s="121" t="str" cm="1">
        <f t="array" ref="K87">_xlfn.IFS(AND($E$12="Concentration",G87&lt;&gt;""),G87,AND(OR($E$12="Volume", $E$12="Flow"),F87&lt;&gt;""),F87,AND($E$12="Load",F87&lt;&gt;"",G87&lt;&gt;""),F87*G87*conv_fact,AND($E$12="Yield",F87&lt;&gt;"",G87&lt;&gt;"", $E$10&lt;&gt;""),F87*G87*conv_fact/$E$10, AND($E$12="Depth",F87&lt;&gt;"",$E$10&lt;&gt;""),F87*conv_fact/$E$10,OR(F87="",G87=""),"")</f>
        <v/>
      </c>
      <c r="L87" s="118" t="e">
        <f t="shared" si="23"/>
        <v>#N/A</v>
      </c>
      <c r="M87" s="118" t="e">
        <f t="shared" si="24"/>
        <v>#N/A</v>
      </c>
      <c r="O87" s="3" t="str">
        <f t="shared" si="25"/>
        <v/>
      </c>
      <c r="P87" s="3" t="str">
        <f t="shared" si="9"/>
        <v/>
      </c>
      <c r="Q87" t="str">
        <f t="shared" si="31"/>
        <v/>
      </c>
      <c r="S87" s="20" t="str">
        <v/>
      </c>
      <c r="T87" s="20" t="str">
        <f t="shared" si="26"/>
        <v/>
      </c>
      <c r="U87" t="str">
        <f t="shared" si="10"/>
        <v/>
      </c>
      <c r="V87" s="3" t="str">
        <f t="shared" si="32"/>
        <v/>
      </c>
      <c r="W87" s="20" t="str">
        <v/>
      </c>
      <c r="X87" s="20" t="str">
        <f t="shared" si="27"/>
        <v/>
      </c>
      <c r="Y87" t="str">
        <f t="shared" si="11"/>
        <v/>
      </c>
      <c r="AA87" t="str">
        <f t="shared" si="28"/>
        <v/>
      </c>
      <c r="AB87" t="str">
        <f t="shared" si="29"/>
        <v/>
      </c>
      <c r="AF87" s="20"/>
      <c r="AJ87" t="str">
        <f t="shared" si="30"/>
        <v/>
      </c>
      <c r="AK87" t="str">
        <f t="shared" si="16"/>
        <v/>
      </c>
      <c r="AL87" t="str">
        <f t="shared" si="17"/>
        <v/>
      </c>
      <c r="AM87" t="str">
        <f t="shared" si="12"/>
        <v/>
      </c>
      <c r="AN87" t="str">
        <f t="shared" si="13"/>
        <v/>
      </c>
      <c r="AQ87" s="20" t="str">
        <f t="shared" si="33"/>
        <v/>
      </c>
      <c r="AR87" s="3" t="str">
        <f t="shared" si="34"/>
        <v/>
      </c>
      <c r="AS87" s="3" t="str">
        <f t="shared" si="35"/>
        <v/>
      </c>
      <c r="AT87" t="str">
        <f t="shared" si="36"/>
        <v/>
      </c>
    </row>
    <row r="88" spans="1:46" x14ac:dyDescent="0.3">
      <c r="A88" s="7"/>
      <c r="B88" s="14" t="str">
        <f t="shared" si="7"/>
        <v/>
      </c>
      <c r="C88" s="25"/>
      <c r="D88" s="81"/>
      <c r="E88" s="81"/>
      <c r="F88" s="81"/>
      <c r="G88" s="81"/>
      <c r="H88" s="13" t="str" cm="1">
        <f t="array" ref="H88">_xlfn.IFS(AND($E$12="Concentration",E88&lt;&gt;"",G88&lt;&gt;"",C88&lt;&gt;""),"X",AND(OR($E$12="Flow",$E$12="Volume"),D88&lt;&gt;"",F88&lt;&gt;"",C88&lt;&gt;""),"X",AND($E$12="Depth",$E$10&lt;&gt;"",$E$8&lt;&gt;"",D88&lt;&gt;"",F88&lt;&gt;"",C88&lt;&gt;""),"X",AND($E$12="Load",D88&lt;="",E88&lt;&gt;"",F88&lt;&gt;"",G88&lt;&gt;"",C88&lt;&gt;""),"X",AND($E$12="Yield",D88&lt;="",E88&lt;&gt;"",F88&lt;&gt;"",G88&lt;&gt;"",$E$8&lt;&gt;"",$E$10&lt;&gt;"",C88&lt;&gt;""),"X",C88="","",1&gt;0,"")</f>
        <v/>
      </c>
      <c r="I88" s="7"/>
      <c r="J88" s="121" t="str" cm="1">
        <f t="array" ref="J88">_xlfn.IFS(AND($E$12="Concentration",E88&lt;&gt;""),E88,AND(OR($E$12="Volume", $E$12="Flow"),D88&lt;&gt;""),D88,AND($E$12="Load",D88&lt;&gt;"",E88&lt;&gt;""),D88*E88*conv_fact,AND($E$12="Yield",D88&lt;&gt;"",E88&lt;&gt;"", $E$8&lt;&gt;""),D88*E88*conv_fact/$E$8,AND($E$12="Depth",D88&lt;&gt;"",$E$8&lt;&gt;""),D88*conv_fact/$E$8,OR(D88="",E88=""),"")</f>
        <v/>
      </c>
      <c r="K88" s="121" t="str" cm="1">
        <f t="array" ref="K88">_xlfn.IFS(AND($E$12="Concentration",G88&lt;&gt;""),G88,AND(OR($E$12="Volume", $E$12="Flow"),F88&lt;&gt;""),F88,AND($E$12="Load",F88&lt;&gt;"",G88&lt;&gt;""),F88*G88*conv_fact,AND($E$12="Yield",F88&lt;&gt;"",G88&lt;&gt;"", $E$10&lt;&gt;""),F88*G88*conv_fact/$E$10, AND($E$12="Depth",F88&lt;&gt;"",$E$10&lt;&gt;""),F88*conv_fact/$E$10,OR(F88="",G88=""),"")</f>
        <v/>
      </c>
      <c r="L88" s="118" t="e">
        <f t="shared" si="23"/>
        <v>#N/A</v>
      </c>
      <c r="M88" s="118" t="e">
        <f t="shared" si="24"/>
        <v>#N/A</v>
      </c>
      <c r="O88" s="3" t="str">
        <f t="shared" si="25"/>
        <v/>
      </c>
      <c r="P88" s="3" t="str">
        <f t="shared" si="9"/>
        <v/>
      </c>
      <c r="Q88" t="str">
        <f t="shared" si="31"/>
        <v/>
      </c>
      <c r="S88" s="20" t="str">
        <v/>
      </c>
      <c r="T88" s="20" t="str">
        <f t="shared" si="26"/>
        <v/>
      </c>
      <c r="U88" t="str">
        <f t="shared" si="10"/>
        <v/>
      </c>
      <c r="V88" s="3" t="str">
        <f t="shared" si="32"/>
        <v/>
      </c>
      <c r="W88" s="20" t="str">
        <v/>
      </c>
      <c r="X88" s="20" t="str">
        <f t="shared" si="27"/>
        <v/>
      </c>
      <c r="Y88" t="str">
        <f t="shared" si="11"/>
        <v/>
      </c>
      <c r="AA88" t="str">
        <f t="shared" si="28"/>
        <v/>
      </c>
      <c r="AB88" t="str">
        <f t="shared" si="29"/>
        <v/>
      </c>
      <c r="AF88" s="20"/>
      <c r="AJ88" t="str">
        <f t="shared" si="30"/>
        <v/>
      </c>
      <c r="AK88" t="str">
        <f t="shared" si="16"/>
        <v/>
      </c>
      <c r="AL88" t="str">
        <f t="shared" si="17"/>
        <v/>
      </c>
      <c r="AM88" t="str">
        <f t="shared" si="12"/>
        <v/>
      </c>
      <c r="AN88" t="str">
        <f t="shared" si="13"/>
        <v/>
      </c>
      <c r="AQ88" s="20" t="str">
        <f t="shared" si="33"/>
        <v/>
      </c>
      <c r="AR88" s="3" t="str">
        <f t="shared" si="34"/>
        <v/>
      </c>
      <c r="AS88" s="3" t="str">
        <f t="shared" si="35"/>
        <v/>
      </c>
      <c r="AT88" t="str">
        <f t="shared" si="36"/>
        <v/>
      </c>
    </row>
    <row r="89" spans="1:46" x14ac:dyDescent="0.3">
      <c r="A89" s="7"/>
      <c r="B89" s="14" t="str">
        <f t="shared" si="7"/>
        <v/>
      </c>
      <c r="C89" s="25"/>
      <c r="D89" s="81"/>
      <c r="E89" s="81"/>
      <c r="F89" s="81"/>
      <c r="G89" s="81"/>
      <c r="H89" s="13" t="str" cm="1">
        <f t="array" ref="H89">_xlfn.IFS(AND($E$12="Concentration",E89&lt;&gt;"",G89&lt;&gt;"",C89&lt;&gt;""),"X",AND(OR($E$12="Flow",$E$12="Volume"),D89&lt;&gt;"",F89&lt;&gt;"",C89&lt;&gt;""),"X",AND($E$12="Depth",$E$10&lt;&gt;"",$E$8&lt;&gt;"",D89&lt;&gt;"",F89&lt;&gt;"",C89&lt;&gt;""),"X",AND($E$12="Load",D89&lt;="",E89&lt;&gt;"",F89&lt;&gt;"",G89&lt;&gt;"",C89&lt;&gt;""),"X",AND($E$12="Yield",D89&lt;="",E89&lt;&gt;"",F89&lt;&gt;"",G89&lt;&gt;"",$E$8&lt;&gt;"",$E$10&lt;&gt;"",C89&lt;&gt;""),"X",C89="","",1&gt;0,"")</f>
        <v/>
      </c>
      <c r="I89" s="7"/>
      <c r="J89" s="121" t="str" cm="1">
        <f t="array" ref="J89">_xlfn.IFS(AND($E$12="Concentration",E89&lt;&gt;""),E89,AND(OR($E$12="Volume", $E$12="Flow"),D89&lt;&gt;""),D89,AND($E$12="Load",D89&lt;&gt;"",E89&lt;&gt;""),D89*E89*conv_fact,AND($E$12="Yield",D89&lt;&gt;"",E89&lt;&gt;"", $E$8&lt;&gt;""),D89*E89*conv_fact/$E$8,AND($E$12="Depth",D89&lt;&gt;"",$E$8&lt;&gt;""),D89*conv_fact/$E$8,OR(D89="",E89=""),"")</f>
        <v/>
      </c>
      <c r="K89" s="121" t="str" cm="1">
        <f t="array" ref="K89">_xlfn.IFS(AND($E$12="Concentration",G89&lt;&gt;""),G89,AND(OR($E$12="Volume", $E$12="Flow"),F89&lt;&gt;""),F89,AND($E$12="Load",F89&lt;&gt;"",G89&lt;&gt;""),F89*G89*conv_fact,AND($E$12="Yield",F89&lt;&gt;"",G89&lt;&gt;"", $E$10&lt;&gt;""),F89*G89*conv_fact/$E$10, AND($E$12="Depth",F89&lt;&gt;"",$E$10&lt;&gt;""),F89*conv_fact/$E$10,OR(F89="",G89=""),"")</f>
        <v/>
      </c>
      <c r="L89" s="118" t="e">
        <f t="shared" si="23"/>
        <v>#N/A</v>
      </c>
      <c r="M89" s="118" t="e">
        <f t="shared" si="24"/>
        <v>#N/A</v>
      </c>
      <c r="O89" s="3" t="str">
        <f t="shared" si="25"/>
        <v/>
      </c>
      <c r="P89" s="3" t="str">
        <f t="shared" si="9"/>
        <v/>
      </c>
      <c r="Q89" t="str">
        <f t="shared" si="31"/>
        <v/>
      </c>
      <c r="S89" s="20" t="str">
        <v/>
      </c>
      <c r="T89" s="20" t="str">
        <f t="shared" si="26"/>
        <v/>
      </c>
      <c r="U89" t="str">
        <f t="shared" si="10"/>
        <v/>
      </c>
      <c r="V89" s="3" t="str">
        <f t="shared" si="32"/>
        <v/>
      </c>
      <c r="W89" s="20" t="str">
        <v/>
      </c>
      <c r="X89" s="20" t="str">
        <f t="shared" si="27"/>
        <v/>
      </c>
      <c r="Y89" t="str">
        <f t="shared" si="11"/>
        <v/>
      </c>
      <c r="AA89" t="str">
        <f t="shared" si="28"/>
        <v/>
      </c>
      <c r="AB89" t="str">
        <f t="shared" si="29"/>
        <v/>
      </c>
      <c r="AF89" s="20"/>
      <c r="AJ89" t="str">
        <f t="shared" si="30"/>
        <v/>
      </c>
      <c r="AK89" t="str">
        <f t="shared" si="16"/>
        <v/>
      </c>
      <c r="AL89" t="str">
        <f t="shared" si="17"/>
        <v/>
      </c>
      <c r="AM89" t="str">
        <f t="shared" si="12"/>
        <v/>
      </c>
      <c r="AN89" t="str">
        <f t="shared" si="13"/>
        <v/>
      </c>
      <c r="AQ89" s="20" t="str">
        <f t="shared" si="33"/>
        <v/>
      </c>
      <c r="AR89" s="3" t="str">
        <f t="shared" si="34"/>
        <v/>
      </c>
      <c r="AS89" s="3" t="str">
        <f t="shared" si="35"/>
        <v/>
      </c>
      <c r="AT89" t="str">
        <f t="shared" si="36"/>
        <v/>
      </c>
    </row>
    <row r="90" spans="1:46" x14ac:dyDescent="0.3">
      <c r="A90" s="7"/>
      <c r="B90" s="14" t="str">
        <f t="shared" si="7"/>
        <v/>
      </c>
      <c r="C90" s="25"/>
      <c r="D90" s="81"/>
      <c r="E90" s="81"/>
      <c r="F90" s="81"/>
      <c r="G90" s="81"/>
      <c r="H90" s="13" t="str" cm="1">
        <f t="array" ref="H90">_xlfn.IFS(AND($E$12="Concentration",E90&lt;&gt;"",G90&lt;&gt;"",C90&lt;&gt;""),"X",AND(OR($E$12="Flow",$E$12="Volume"),D90&lt;&gt;"",F90&lt;&gt;"",C90&lt;&gt;""),"X",AND($E$12="Depth",$E$10&lt;&gt;"",$E$8&lt;&gt;"",D90&lt;&gt;"",F90&lt;&gt;"",C90&lt;&gt;""),"X",AND($E$12="Load",D90&lt;="",E90&lt;&gt;"",F90&lt;&gt;"",G90&lt;&gt;"",C90&lt;&gt;""),"X",AND($E$12="Yield",D90&lt;="",E90&lt;&gt;"",F90&lt;&gt;"",G90&lt;&gt;"",$E$8&lt;&gt;"",$E$10&lt;&gt;"",C90&lt;&gt;""),"X",C90="","",1&gt;0,"")</f>
        <v/>
      </c>
      <c r="I90" s="7"/>
      <c r="J90" s="121" t="str" cm="1">
        <f t="array" ref="J90">_xlfn.IFS(AND($E$12="Concentration",E90&lt;&gt;""),E90,AND(OR($E$12="Volume", $E$12="Flow"),D90&lt;&gt;""),D90,AND($E$12="Load",D90&lt;&gt;"",E90&lt;&gt;""),D90*E90*conv_fact,AND($E$12="Yield",D90&lt;&gt;"",E90&lt;&gt;"", $E$8&lt;&gt;""),D90*E90*conv_fact/$E$8,AND($E$12="Depth",D90&lt;&gt;"",$E$8&lt;&gt;""),D90*conv_fact/$E$8,OR(D90="",E90=""),"")</f>
        <v/>
      </c>
      <c r="K90" s="121" t="str" cm="1">
        <f t="array" ref="K90">_xlfn.IFS(AND($E$12="Concentration",G90&lt;&gt;""),G90,AND(OR($E$12="Volume", $E$12="Flow"),F90&lt;&gt;""),F90,AND($E$12="Load",F90&lt;&gt;"",G90&lt;&gt;""),F90*G90*conv_fact,AND($E$12="Yield",F90&lt;&gt;"",G90&lt;&gt;"", $E$10&lt;&gt;""),F90*G90*conv_fact/$E$10, AND($E$12="Depth",F90&lt;&gt;"",$E$10&lt;&gt;""),F90*conv_fact/$E$10,OR(F90="",G90=""),"")</f>
        <v/>
      </c>
      <c r="L90" s="118" t="e">
        <f t="shared" si="23"/>
        <v>#N/A</v>
      </c>
      <c r="M90" s="118" t="e">
        <f t="shared" si="24"/>
        <v>#N/A</v>
      </c>
      <c r="O90" s="3" t="str">
        <f t="shared" si="25"/>
        <v/>
      </c>
      <c r="P90" s="3" t="str">
        <f t="shared" si="9"/>
        <v/>
      </c>
      <c r="Q90" t="str">
        <f t="shared" si="31"/>
        <v/>
      </c>
      <c r="S90" s="20" t="str">
        <v/>
      </c>
      <c r="T90" s="20" t="str">
        <f t="shared" si="26"/>
        <v/>
      </c>
      <c r="U90" t="str">
        <f t="shared" si="10"/>
        <v/>
      </c>
      <c r="V90" s="3" t="str">
        <f t="shared" si="32"/>
        <v/>
      </c>
      <c r="W90" s="20" t="str">
        <v/>
      </c>
      <c r="X90" s="20" t="str">
        <f t="shared" si="27"/>
        <v/>
      </c>
      <c r="Y90" t="str">
        <f t="shared" si="11"/>
        <v/>
      </c>
      <c r="AA90" t="str">
        <f t="shared" si="28"/>
        <v/>
      </c>
      <c r="AB90" t="str">
        <f t="shared" si="29"/>
        <v/>
      </c>
      <c r="AF90" s="20"/>
      <c r="AJ90" t="str">
        <f t="shared" si="30"/>
        <v/>
      </c>
      <c r="AK90" t="str">
        <f t="shared" si="16"/>
        <v/>
      </c>
      <c r="AL90" t="str">
        <f t="shared" si="17"/>
        <v/>
      </c>
      <c r="AM90" t="str">
        <f t="shared" si="12"/>
        <v/>
      </c>
      <c r="AN90" t="str">
        <f t="shared" si="13"/>
        <v/>
      </c>
      <c r="AQ90" s="20" t="str">
        <f t="shared" si="33"/>
        <v/>
      </c>
      <c r="AR90" s="3" t="str">
        <f t="shared" si="34"/>
        <v/>
      </c>
      <c r="AS90" s="3" t="str">
        <f t="shared" si="35"/>
        <v/>
      </c>
      <c r="AT90" t="str">
        <f t="shared" si="36"/>
        <v/>
      </c>
    </row>
    <row r="91" spans="1:46" x14ac:dyDescent="0.3">
      <c r="A91" s="7"/>
      <c r="B91" s="14" t="str">
        <f t="shared" si="7"/>
        <v/>
      </c>
      <c r="C91" s="25"/>
      <c r="D91" s="81"/>
      <c r="E91" s="81"/>
      <c r="F91" s="81"/>
      <c r="G91" s="81"/>
      <c r="H91" s="13" t="str" cm="1">
        <f t="array" ref="H91">_xlfn.IFS(AND($E$12="Concentration",E91&lt;&gt;"",G91&lt;&gt;"",C91&lt;&gt;""),"X",AND(OR($E$12="Flow",$E$12="Volume"),D91&lt;&gt;"",F91&lt;&gt;"",C91&lt;&gt;""),"X",AND($E$12="Depth",$E$10&lt;&gt;"",$E$8&lt;&gt;"",D91&lt;&gt;"",F91&lt;&gt;"",C91&lt;&gt;""),"X",AND($E$12="Load",D91&lt;="",E91&lt;&gt;"",F91&lt;&gt;"",G91&lt;&gt;"",C91&lt;&gt;""),"X",AND($E$12="Yield",D91&lt;="",E91&lt;&gt;"",F91&lt;&gt;"",G91&lt;&gt;"",$E$8&lt;&gt;"",$E$10&lt;&gt;"",C91&lt;&gt;""),"X",C91="","",1&gt;0,"")</f>
        <v/>
      </c>
      <c r="I91" s="7"/>
      <c r="J91" s="121" t="str" cm="1">
        <f t="array" ref="J91">_xlfn.IFS(AND($E$12="Concentration",E91&lt;&gt;""),E91,AND(OR($E$12="Volume", $E$12="Flow"),D91&lt;&gt;""),D91,AND($E$12="Load",D91&lt;&gt;"",E91&lt;&gt;""),D91*E91*conv_fact,AND($E$12="Yield",D91&lt;&gt;"",E91&lt;&gt;"", $E$8&lt;&gt;""),D91*E91*conv_fact/$E$8,AND($E$12="Depth",D91&lt;&gt;"",$E$8&lt;&gt;""),D91*conv_fact/$E$8,OR(D91="",E91=""),"")</f>
        <v/>
      </c>
      <c r="K91" s="121" t="str" cm="1">
        <f t="array" ref="K91">_xlfn.IFS(AND($E$12="Concentration",G91&lt;&gt;""),G91,AND(OR($E$12="Volume", $E$12="Flow"),F91&lt;&gt;""),F91,AND($E$12="Load",F91&lt;&gt;"",G91&lt;&gt;""),F91*G91*conv_fact,AND($E$12="Yield",F91&lt;&gt;"",G91&lt;&gt;"", $E$10&lt;&gt;""),F91*G91*conv_fact/$E$10, AND($E$12="Depth",F91&lt;&gt;"",$E$10&lt;&gt;""),F91*conv_fact/$E$10,OR(F91="",G91=""),"")</f>
        <v/>
      </c>
      <c r="L91" s="118" t="e">
        <f t="shared" si="23"/>
        <v>#N/A</v>
      </c>
      <c r="M91" s="118" t="e">
        <f t="shared" si="24"/>
        <v>#N/A</v>
      </c>
      <c r="O91" s="3" t="str">
        <f t="shared" si="25"/>
        <v/>
      </c>
      <c r="P91" s="3" t="str">
        <f t="shared" si="9"/>
        <v/>
      </c>
      <c r="Q91" t="str">
        <f t="shared" si="31"/>
        <v/>
      </c>
      <c r="S91" s="20" t="str">
        <v/>
      </c>
      <c r="T91" s="20" t="str">
        <f t="shared" si="26"/>
        <v/>
      </c>
      <c r="U91" t="str">
        <f t="shared" si="10"/>
        <v/>
      </c>
      <c r="V91" s="3" t="str">
        <f t="shared" si="32"/>
        <v/>
      </c>
      <c r="W91" s="20" t="str">
        <v/>
      </c>
      <c r="X91" s="20" t="str">
        <f t="shared" si="27"/>
        <v/>
      </c>
      <c r="Y91" t="str">
        <f t="shared" si="11"/>
        <v/>
      </c>
      <c r="AA91" t="str">
        <f t="shared" si="28"/>
        <v/>
      </c>
      <c r="AB91" t="str">
        <f t="shared" si="29"/>
        <v/>
      </c>
      <c r="AF91" s="20"/>
      <c r="AJ91" t="str">
        <f t="shared" si="30"/>
        <v/>
      </c>
      <c r="AK91" t="str">
        <f t="shared" si="16"/>
        <v/>
      </c>
      <c r="AL91" t="str">
        <f t="shared" si="17"/>
        <v/>
      </c>
      <c r="AM91" t="str">
        <f t="shared" si="12"/>
        <v/>
      </c>
      <c r="AN91" t="str">
        <f t="shared" si="13"/>
        <v/>
      </c>
      <c r="AQ91" s="20" t="str">
        <f t="shared" si="33"/>
        <v/>
      </c>
      <c r="AR91" s="3" t="str">
        <f t="shared" si="34"/>
        <v/>
      </c>
      <c r="AS91" s="3" t="str">
        <f t="shared" si="35"/>
        <v/>
      </c>
      <c r="AT91" t="str">
        <f t="shared" si="36"/>
        <v/>
      </c>
    </row>
    <row r="92" spans="1:46" x14ac:dyDescent="0.3">
      <c r="A92" s="7"/>
      <c r="B92" s="14" t="str">
        <f t="shared" si="7"/>
        <v/>
      </c>
      <c r="C92" s="25"/>
      <c r="D92" s="81"/>
      <c r="E92" s="81"/>
      <c r="F92" s="81"/>
      <c r="G92" s="81"/>
      <c r="H92" s="13" t="str" cm="1">
        <f t="array" ref="H92">_xlfn.IFS(AND($E$12="Concentration",E92&lt;&gt;"",G92&lt;&gt;"",C92&lt;&gt;""),"X",AND(OR($E$12="Flow",$E$12="Volume"),D92&lt;&gt;"",F92&lt;&gt;"",C92&lt;&gt;""),"X",AND($E$12="Depth",$E$10&lt;&gt;"",$E$8&lt;&gt;"",D92&lt;&gt;"",F92&lt;&gt;"",C92&lt;&gt;""),"X",AND($E$12="Load",D92&lt;="",E92&lt;&gt;"",F92&lt;&gt;"",G92&lt;&gt;"",C92&lt;&gt;""),"X",AND($E$12="Yield",D92&lt;="",E92&lt;&gt;"",F92&lt;&gt;"",G92&lt;&gt;"",$E$8&lt;&gt;"",$E$10&lt;&gt;"",C92&lt;&gt;""),"X",C92="","",1&gt;0,"")</f>
        <v/>
      </c>
      <c r="I92" s="7"/>
      <c r="J92" s="121" t="str" cm="1">
        <f t="array" ref="J92">_xlfn.IFS(AND($E$12="Concentration",E92&lt;&gt;""),E92,AND(OR($E$12="Volume", $E$12="Flow"),D92&lt;&gt;""),D92,AND($E$12="Load",D92&lt;&gt;"",E92&lt;&gt;""),D92*E92*conv_fact,AND($E$12="Yield",D92&lt;&gt;"",E92&lt;&gt;"", $E$8&lt;&gt;""),D92*E92*conv_fact/$E$8,AND($E$12="Depth",D92&lt;&gt;"",$E$8&lt;&gt;""),D92*conv_fact/$E$8,OR(D92="",E92=""),"")</f>
        <v/>
      </c>
      <c r="K92" s="121" t="str" cm="1">
        <f t="array" ref="K92">_xlfn.IFS(AND($E$12="Concentration",G92&lt;&gt;""),G92,AND(OR($E$12="Volume", $E$12="Flow"),F92&lt;&gt;""),F92,AND($E$12="Load",F92&lt;&gt;"",G92&lt;&gt;""),F92*G92*conv_fact,AND($E$12="Yield",F92&lt;&gt;"",G92&lt;&gt;"", $E$10&lt;&gt;""),F92*G92*conv_fact/$E$10, AND($E$12="Depth",F92&lt;&gt;"",$E$10&lt;&gt;""),F92*conv_fact/$E$10,OR(F92="",G92=""),"")</f>
        <v/>
      </c>
      <c r="L92" s="118" t="e">
        <f t="shared" si="23"/>
        <v>#N/A</v>
      </c>
      <c r="M92" s="118" t="e">
        <f t="shared" si="24"/>
        <v>#N/A</v>
      </c>
      <c r="O92" s="3" t="str">
        <f t="shared" si="25"/>
        <v/>
      </c>
      <c r="P92" s="3" t="str">
        <f t="shared" si="9"/>
        <v/>
      </c>
      <c r="Q92" t="str">
        <f t="shared" si="31"/>
        <v/>
      </c>
      <c r="S92" s="20" t="str">
        <v/>
      </c>
      <c r="T92" s="20" t="str">
        <f t="shared" si="26"/>
        <v/>
      </c>
      <c r="U92" t="str">
        <f t="shared" si="10"/>
        <v/>
      </c>
      <c r="V92" s="3" t="str">
        <f t="shared" si="32"/>
        <v/>
      </c>
      <c r="W92" s="20" t="str">
        <v/>
      </c>
      <c r="X92" s="20" t="str">
        <f t="shared" si="27"/>
        <v/>
      </c>
      <c r="Y92" t="str">
        <f t="shared" si="11"/>
        <v/>
      </c>
      <c r="AA92" t="str">
        <f t="shared" si="28"/>
        <v/>
      </c>
      <c r="AB92" t="str">
        <f t="shared" si="29"/>
        <v/>
      </c>
      <c r="AF92" s="20"/>
      <c r="AJ92" t="str">
        <f t="shared" si="30"/>
        <v/>
      </c>
      <c r="AK92" t="str">
        <f t="shared" si="16"/>
        <v/>
      </c>
      <c r="AL92" t="str">
        <f t="shared" si="17"/>
        <v/>
      </c>
      <c r="AM92" t="str">
        <f t="shared" si="12"/>
        <v/>
      </c>
      <c r="AN92" t="str">
        <f t="shared" si="13"/>
        <v/>
      </c>
      <c r="AQ92" s="20" t="str">
        <f t="shared" si="33"/>
        <v/>
      </c>
      <c r="AR92" s="3" t="str">
        <f t="shared" si="34"/>
        <v/>
      </c>
      <c r="AS92" s="3" t="str">
        <f t="shared" si="35"/>
        <v/>
      </c>
      <c r="AT92" t="str">
        <f t="shared" si="36"/>
        <v/>
      </c>
    </row>
    <row r="93" spans="1:46" x14ac:dyDescent="0.3">
      <c r="A93" s="7"/>
      <c r="B93" s="14" t="str">
        <f t="shared" si="7"/>
        <v/>
      </c>
      <c r="C93" s="25"/>
      <c r="D93" s="81"/>
      <c r="E93" s="81"/>
      <c r="F93" s="81"/>
      <c r="G93" s="81"/>
      <c r="H93" s="13" t="str" cm="1">
        <f t="array" ref="H93">_xlfn.IFS(AND($E$12="Concentration",E93&lt;&gt;"",G93&lt;&gt;"",C93&lt;&gt;""),"X",AND(OR($E$12="Flow",$E$12="Volume"),D93&lt;&gt;"",F93&lt;&gt;"",C93&lt;&gt;""),"X",AND($E$12="Depth",$E$10&lt;&gt;"",$E$8&lt;&gt;"",D93&lt;&gt;"",F93&lt;&gt;"",C93&lt;&gt;""),"X",AND($E$12="Load",D93&lt;="",E93&lt;&gt;"",F93&lt;&gt;"",G93&lt;&gt;"",C93&lt;&gt;""),"X",AND($E$12="Yield",D93&lt;="",E93&lt;&gt;"",F93&lt;&gt;"",G93&lt;&gt;"",$E$8&lt;&gt;"",$E$10&lt;&gt;"",C93&lt;&gt;""),"X",C93="","",1&gt;0,"")</f>
        <v/>
      </c>
      <c r="I93" s="7"/>
      <c r="J93" s="121" t="str" cm="1">
        <f t="array" ref="J93">_xlfn.IFS(AND($E$12="Concentration",E93&lt;&gt;""),E93,AND(OR($E$12="Volume", $E$12="Flow"),D93&lt;&gt;""),D93,AND($E$12="Load",D93&lt;&gt;"",E93&lt;&gt;""),D93*E93*conv_fact,AND($E$12="Yield",D93&lt;&gt;"",E93&lt;&gt;"", $E$8&lt;&gt;""),D93*E93*conv_fact/$E$8,AND($E$12="Depth",D93&lt;&gt;"",$E$8&lt;&gt;""),D93*conv_fact/$E$8,OR(D93="",E93=""),"")</f>
        <v/>
      </c>
      <c r="K93" s="121" t="str" cm="1">
        <f t="array" ref="K93">_xlfn.IFS(AND($E$12="Concentration",G93&lt;&gt;""),G93,AND(OR($E$12="Volume", $E$12="Flow"),F93&lt;&gt;""),F93,AND($E$12="Load",F93&lt;&gt;"",G93&lt;&gt;""),F93*G93*conv_fact,AND($E$12="Yield",F93&lt;&gt;"",G93&lt;&gt;"", $E$10&lt;&gt;""),F93*G93*conv_fact/$E$10, AND($E$12="Depth",F93&lt;&gt;"",$E$10&lt;&gt;""),F93*conv_fact/$E$10,OR(F93="",G93=""),"")</f>
        <v/>
      </c>
      <c r="L93" s="118" t="e">
        <f t="shared" si="23"/>
        <v>#N/A</v>
      </c>
      <c r="M93" s="118" t="e">
        <f t="shared" si="24"/>
        <v>#N/A</v>
      </c>
      <c r="O93" s="3" t="str">
        <f t="shared" si="25"/>
        <v/>
      </c>
      <c r="P93" s="3" t="str">
        <f t="shared" si="9"/>
        <v/>
      </c>
      <c r="Q93" t="str">
        <f t="shared" si="31"/>
        <v/>
      </c>
      <c r="S93" s="20" t="str">
        <v/>
      </c>
      <c r="T93" s="20" t="str">
        <f t="shared" si="26"/>
        <v/>
      </c>
      <c r="U93" t="str">
        <f t="shared" si="10"/>
        <v/>
      </c>
      <c r="V93" s="3" t="str">
        <f t="shared" si="32"/>
        <v/>
      </c>
      <c r="W93" s="20" t="str">
        <v/>
      </c>
      <c r="X93" s="20" t="str">
        <f t="shared" si="27"/>
        <v/>
      </c>
      <c r="Y93" t="str">
        <f t="shared" si="11"/>
        <v/>
      </c>
      <c r="AA93" t="str">
        <f t="shared" si="28"/>
        <v/>
      </c>
      <c r="AB93" t="str">
        <f t="shared" si="29"/>
        <v/>
      </c>
      <c r="AF93" s="20"/>
      <c r="AJ93" t="str">
        <f t="shared" si="30"/>
        <v/>
      </c>
      <c r="AK93" t="str">
        <f t="shared" si="16"/>
        <v/>
      </c>
      <c r="AL93" t="str">
        <f t="shared" si="17"/>
        <v/>
      </c>
      <c r="AM93" t="str">
        <f t="shared" si="12"/>
        <v/>
      </c>
      <c r="AN93" t="str">
        <f t="shared" si="13"/>
        <v/>
      </c>
      <c r="AQ93" s="20" t="str">
        <f t="shared" si="33"/>
        <v/>
      </c>
      <c r="AR93" s="3" t="str">
        <f t="shared" si="34"/>
        <v/>
      </c>
      <c r="AS93" s="3" t="str">
        <f t="shared" si="35"/>
        <v/>
      </c>
      <c r="AT93" t="str">
        <f t="shared" si="36"/>
        <v/>
      </c>
    </row>
    <row r="94" spans="1:46" x14ac:dyDescent="0.3">
      <c r="A94" s="7"/>
      <c r="B94" s="14" t="str">
        <f t="shared" si="7"/>
        <v/>
      </c>
      <c r="C94" s="25"/>
      <c r="D94" s="81"/>
      <c r="E94" s="81"/>
      <c r="F94" s="81"/>
      <c r="G94" s="81"/>
      <c r="H94" s="13" t="str" cm="1">
        <f t="array" ref="H94">_xlfn.IFS(AND($E$12="Concentration",E94&lt;&gt;"",G94&lt;&gt;"",C94&lt;&gt;""),"X",AND(OR($E$12="Flow",$E$12="Volume"),D94&lt;&gt;"",F94&lt;&gt;"",C94&lt;&gt;""),"X",AND($E$12="Depth",$E$10&lt;&gt;"",$E$8&lt;&gt;"",D94&lt;&gt;"",F94&lt;&gt;"",C94&lt;&gt;""),"X",AND($E$12="Load",D94&lt;="",E94&lt;&gt;"",F94&lt;&gt;"",G94&lt;&gt;"",C94&lt;&gt;""),"X",AND($E$12="Yield",D94&lt;="",E94&lt;&gt;"",F94&lt;&gt;"",G94&lt;&gt;"",$E$8&lt;&gt;"",$E$10&lt;&gt;"",C94&lt;&gt;""),"X",C94="","",1&gt;0,"")</f>
        <v/>
      </c>
      <c r="I94" s="7"/>
      <c r="J94" s="121" t="str" cm="1">
        <f t="array" ref="J94">_xlfn.IFS(AND($E$12="Concentration",E94&lt;&gt;""),E94,AND(OR($E$12="Volume", $E$12="Flow"),D94&lt;&gt;""),D94,AND($E$12="Load",D94&lt;&gt;"",E94&lt;&gt;""),D94*E94*conv_fact,AND($E$12="Yield",D94&lt;&gt;"",E94&lt;&gt;"", $E$8&lt;&gt;""),D94*E94*conv_fact/$E$8,AND($E$12="Depth",D94&lt;&gt;"",$E$8&lt;&gt;""),D94*conv_fact/$E$8,OR(D94="",E94=""),"")</f>
        <v/>
      </c>
      <c r="K94" s="121" t="str" cm="1">
        <f t="array" ref="K94">_xlfn.IFS(AND($E$12="Concentration",G94&lt;&gt;""),G94,AND(OR($E$12="Volume", $E$12="Flow"),F94&lt;&gt;""),F94,AND($E$12="Load",F94&lt;&gt;"",G94&lt;&gt;""),F94*G94*conv_fact,AND($E$12="Yield",F94&lt;&gt;"",G94&lt;&gt;"", $E$10&lt;&gt;""),F94*G94*conv_fact/$E$10, AND($E$12="Depth",F94&lt;&gt;"",$E$10&lt;&gt;""),F94*conv_fact/$E$10,OR(F94="",G94=""),"")</f>
        <v/>
      </c>
      <c r="L94" s="118" t="e">
        <f t="shared" si="23"/>
        <v>#N/A</v>
      </c>
      <c r="M94" s="118" t="e">
        <f t="shared" si="24"/>
        <v>#N/A</v>
      </c>
      <c r="O94" s="3" t="str">
        <f t="shared" si="25"/>
        <v/>
      </c>
      <c r="P94" s="3" t="str">
        <f t="shared" si="9"/>
        <v/>
      </c>
      <c r="Q94" t="str">
        <f t="shared" si="31"/>
        <v/>
      </c>
      <c r="S94" s="20" t="str">
        <v/>
      </c>
      <c r="T94" s="20" t="str">
        <f t="shared" si="26"/>
        <v/>
      </c>
      <c r="U94" t="str">
        <f t="shared" si="10"/>
        <v/>
      </c>
      <c r="V94" s="3" t="str">
        <f t="shared" si="32"/>
        <v/>
      </c>
      <c r="W94" s="20" t="str">
        <v/>
      </c>
      <c r="X94" s="20" t="str">
        <f t="shared" si="27"/>
        <v/>
      </c>
      <c r="Y94" t="str">
        <f t="shared" si="11"/>
        <v/>
      </c>
      <c r="AA94" t="str">
        <f t="shared" si="28"/>
        <v/>
      </c>
      <c r="AB94" t="str">
        <f t="shared" si="29"/>
        <v/>
      </c>
      <c r="AF94" s="20"/>
      <c r="AJ94" t="str">
        <f t="shared" si="30"/>
        <v/>
      </c>
      <c r="AK94" t="str">
        <f t="shared" si="16"/>
        <v/>
      </c>
      <c r="AL94" t="str">
        <f t="shared" si="17"/>
        <v/>
      </c>
      <c r="AM94" t="str">
        <f t="shared" si="12"/>
        <v/>
      </c>
      <c r="AN94" t="str">
        <f t="shared" si="13"/>
        <v/>
      </c>
      <c r="AQ94" s="20" t="str">
        <f t="shared" si="33"/>
        <v/>
      </c>
      <c r="AR94" s="3" t="str">
        <f t="shared" si="34"/>
        <v/>
      </c>
      <c r="AS94" s="3" t="str">
        <f t="shared" si="35"/>
        <v/>
      </c>
      <c r="AT94" t="str">
        <f t="shared" si="36"/>
        <v/>
      </c>
    </row>
    <row r="95" spans="1:46" x14ac:dyDescent="0.3">
      <c r="A95" s="7"/>
      <c r="B95" s="14" t="str">
        <f t="shared" si="7"/>
        <v/>
      </c>
      <c r="C95" s="25"/>
      <c r="D95" s="81"/>
      <c r="E95" s="81"/>
      <c r="F95" s="81"/>
      <c r="G95" s="81"/>
      <c r="H95" s="13" t="str" cm="1">
        <f t="array" ref="H95">_xlfn.IFS(AND($E$12="Concentration",E95&lt;&gt;"",G95&lt;&gt;"",C95&lt;&gt;""),"X",AND(OR($E$12="Flow",$E$12="Volume"),D95&lt;&gt;"",F95&lt;&gt;"",C95&lt;&gt;""),"X",AND($E$12="Depth",$E$10&lt;&gt;"",$E$8&lt;&gt;"",D95&lt;&gt;"",F95&lt;&gt;"",C95&lt;&gt;""),"X",AND($E$12="Load",D95&lt;="",E95&lt;&gt;"",F95&lt;&gt;"",G95&lt;&gt;"",C95&lt;&gt;""),"X",AND($E$12="Yield",D95&lt;="",E95&lt;&gt;"",F95&lt;&gt;"",G95&lt;&gt;"",$E$8&lt;&gt;"",$E$10&lt;&gt;"",C95&lt;&gt;""),"X",C95="","",1&gt;0,"")</f>
        <v/>
      </c>
      <c r="I95" s="7"/>
      <c r="J95" s="121" t="str" cm="1">
        <f t="array" ref="J95">_xlfn.IFS(AND($E$12="Concentration",E95&lt;&gt;""),E95,AND(OR($E$12="Volume", $E$12="Flow"),D95&lt;&gt;""),D95,AND($E$12="Load",D95&lt;&gt;"",E95&lt;&gt;""),D95*E95*conv_fact,AND($E$12="Yield",D95&lt;&gt;"",E95&lt;&gt;"", $E$8&lt;&gt;""),D95*E95*conv_fact/$E$8,AND($E$12="Depth",D95&lt;&gt;"",$E$8&lt;&gt;""),D95*conv_fact/$E$8,OR(D95="",E95=""),"")</f>
        <v/>
      </c>
      <c r="K95" s="121" t="str" cm="1">
        <f t="array" ref="K95">_xlfn.IFS(AND($E$12="Concentration",G95&lt;&gt;""),G95,AND(OR($E$12="Volume", $E$12="Flow"),F95&lt;&gt;""),F95,AND($E$12="Load",F95&lt;&gt;"",G95&lt;&gt;""),F95*G95*conv_fact,AND($E$12="Yield",F95&lt;&gt;"",G95&lt;&gt;"", $E$10&lt;&gt;""),F95*G95*conv_fact/$E$10, AND($E$12="Depth",F95&lt;&gt;"",$E$10&lt;&gt;""),F95*conv_fact/$E$10,OR(F95="",G95=""),"")</f>
        <v/>
      </c>
      <c r="L95" s="118" t="e">
        <f t="shared" si="23"/>
        <v>#N/A</v>
      </c>
      <c r="M95" s="118" t="e">
        <f t="shared" si="24"/>
        <v>#N/A</v>
      </c>
      <c r="O95" s="3" t="str">
        <f t="shared" si="25"/>
        <v/>
      </c>
      <c r="P95" s="3" t="str">
        <f t="shared" si="9"/>
        <v/>
      </c>
      <c r="Q95" t="str">
        <f t="shared" si="31"/>
        <v/>
      </c>
      <c r="S95" s="20" t="str">
        <v/>
      </c>
      <c r="T95" s="20" t="str">
        <f t="shared" si="26"/>
        <v/>
      </c>
      <c r="U95" t="str">
        <f t="shared" si="10"/>
        <v/>
      </c>
      <c r="V95" s="3" t="str">
        <f t="shared" si="32"/>
        <v/>
      </c>
      <c r="W95" s="20" t="str">
        <v/>
      </c>
      <c r="X95" s="20" t="str">
        <f t="shared" si="27"/>
        <v/>
      </c>
      <c r="Y95" t="str">
        <f t="shared" si="11"/>
        <v/>
      </c>
      <c r="AA95" t="str">
        <f t="shared" si="28"/>
        <v/>
      </c>
      <c r="AB95" t="str">
        <f t="shared" si="29"/>
        <v/>
      </c>
      <c r="AF95" s="20"/>
      <c r="AJ95" t="str">
        <f t="shared" si="30"/>
        <v/>
      </c>
      <c r="AK95" t="str">
        <f t="shared" si="16"/>
        <v/>
      </c>
      <c r="AL95" t="str">
        <f t="shared" si="17"/>
        <v/>
      </c>
      <c r="AM95" t="str">
        <f t="shared" si="12"/>
        <v/>
      </c>
      <c r="AN95" t="str">
        <f t="shared" si="13"/>
        <v/>
      </c>
      <c r="AQ95" s="20" t="str">
        <f t="shared" si="33"/>
        <v/>
      </c>
      <c r="AR95" s="3" t="str">
        <f t="shared" si="34"/>
        <v/>
      </c>
      <c r="AS95" s="3" t="str">
        <f t="shared" si="35"/>
        <v/>
      </c>
      <c r="AT95" t="str">
        <f t="shared" si="36"/>
        <v/>
      </c>
    </row>
    <row r="96" spans="1:46" x14ac:dyDescent="0.3">
      <c r="A96" s="7"/>
      <c r="B96" s="14" t="str">
        <f t="shared" si="7"/>
        <v/>
      </c>
      <c r="C96" s="25"/>
      <c r="D96" s="81"/>
      <c r="E96" s="81"/>
      <c r="F96" s="81"/>
      <c r="G96" s="81"/>
      <c r="H96" s="13" t="str" cm="1">
        <f t="array" ref="H96">_xlfn.IFS(AND($E$12="Concentration",E96&lt;&gt;"",G96&lt;&gt;"",C96&lt;&gt;""),"X",AND(OR($E$12="Flow",$E$12="Volume"),D96&lt;&gt;"",F96&lt;&gt;"",C96&lt;&gt;""),"X",AND($E$12="Depth",$E$10&lt;&gt;"",$E$8&lt;&gt;"",D96&lt;&gt;"",F96&lt;&gt;"",C96&lt;&gt;""),"X",AND($E$12="Load",D96&lt;="",E96&lt;&gt;"",F96&lt;&gt;"",G96&lt;&gt;"",C96&lt;&gt;""),"X",AND($E$12="Yield",D96&lt;="",E96&lt;&gt;"",F96&lt;&gt;"",G96&lt;&gt;"",$E$8&lt;&gt;"",$E$10&lt;&gt;"",C96&lt;&gt;""),"X",C96="","",1&gt;0,"")</f>
        <v/>
      </c>
      <c r="I96" s="7"/>
      <c r="J96" s="121" t="str" cm="1">
        <f t="array" ref="J96">_xlfn.IFS(AND($E$12="Concentration",E96&lt;&gt;""),E96,AND(OR($E$12="Volume", $E$12="Flow"),D96&lt;&gt;""),D96,AND($E$12="Load",D96&lt;&gt;"",E96&lt;&gt;""),D96*E96*conv_fact,AND($E$12="Yield",D96&lt;&gt;"",E96&lt;&gt;"", $E$8&lt;&gt;""),D96*E96*conv_fact/$E$8,AND($E$12="Depth",D96&lt;&gt;"",$E$8&lt;&gt;""),D96*conv_fact/$E$8,OR(D96="",E96=""),"")</f>
        <v/>
      </c>
      <c r="K96" s="121" t="str" cm="1">
        <f t="array" ref="K96">_xlfn.IFS(AND($E$12="Concentration",G96&lt;&gt;""),G96,AND(OR($E$12="Volume", $E$12="Flow"),F96&lt;&gt;""),F96,AND($E$12="Load",F96&lt;&gt;"",G96&lt;&gt;""),F96*G96*conv_fact,AND($E$12="Yield",F96&lt;&gt;"",G96&lt;&gt;"", $E$10&lt;&gt;""),F96*G96*conv_fact/$E$10, AND($E$12="Depth",F96&lt;&gt;"",$E$10&lt;&gt;""),F96*conv_fact/$E$10,OR(F96="",G96=""),"")</f>
        <v/>
      </c>
      <c r="L96" s="118" t="e">
        <f t="shared" si="23"/>
        <v>#N/A</v>
      </c>
      <c r="M96" s="118" t="e">
        <f t="shared" si="24"/>
        <v>#N/A</v>
      </c>
      <c r="O96" s="3" t="str">
        <f t="shared" si="25"/>
        <v/>
      </c>
      <c r="P96" s="3" t="str">
        <f t="shared" si="9"/>
        <v/>
      </c>
      <c r="Q96" t="str">
        <f t="shared" si="31"/>
        <v/>
      </c>
      <c r="S96" s="20" t="str">
        <v/>
      </c>
      <c r="T96" s="20" t="str">
        <f t="shared" si="26"/>
        <v/>
      </c>
      <c r="U96" t="str">
        <f t="shared" si="10"/>
        <v/>
      </c>
      <c r="V96" s="3" t="str">
        <f t="shared" si="32"/>
        <v/>
      </c>
      <c r="W96" s="20" t="str">
        <v/>
      </c>
      <c r="X96" s="20" t="str">
        <f t="shared" si="27"/>
        <v/>
      </c>
      <c r="Y96" t="str">
        <f t="shared" si="11"/>
        <v/>
      </c>
      <c r="AA96" t="str">
        <f t="shared" si="28"/>
        <v/>
      </c>
      <c r="AB96" t="str">
        <f t="shared" si="29"/>
        <v/>
      </c>
      <c r="AF96" s="20"/>
      <c r="AJ96" t="str">
        <f t="shared" si="30"/>
        <v/>
      </c>
      <c r="AK96" t="str">
        <f t="shared" si="16"/>
        <v/>
      </c>
      <c r="AL96" t="str">
        <f t="shared" si="17"/>
        <v/>
      </c>
      <c r="AM96" t="str">
        <f t="shared" si="12"/>
        <v/>
      </c>
      <c r="AN96" t="str">
        <f t="shared" si="13"/>
        <v/>
      </c>
      <c r="AQ96" s="20" t="str">
        <f t="shared" si="33"/>
        <v/>
      </c>
      <c r="AR96" s="3" t="str">
        <f t="shared" si="34"/>
        <v/>
      </c>
      <c r="AS96" s="3" t="str">
        <f t="shared" si="35"/>
        <v/>
      </c>
      <c r="AT96" t="str">
        <f t="shared" si="36"/>
        <v/>
      </c>
    </row>
    <row r="97" spans="1:46" x14ac:dyDescent="0.3">
      <c r="A97" s="7"/>
      <c r="B97" s="14" t="str">
        <f t="shared" si="7"/>
        <v/>
      </c>
      <c r="C97" s="25"/>
      <c r="D97" s="81"/>
      <c r="E97" s="81"/>
      <c r="F97" s="81"/>
      <c r="G97" s="81"/>
      <c r="H97" s="13" t="str" cm="1">
        <f t="array" ref="H97">_xlfn.IFS(AND($E$12="Concentration",E97&lt;&gt;"",G97&lt;&gt;"",C97&lt;&gt;""),"X",AND(OR($E$12="Flow",$E$12="Volume"),D97&lt;&gt;"",F97&lt;&gt;"",C97&lt;&gt;""),"X",AND($E$12="Depth",$E$10&lt;&gt;"",$E$8&lt;&gt;"",D97&lt;&gt;"",F97&lt;&gt;"",C97&lt;&gt;""),"X",AND($E$12="Load",D97&lt;="",E97&lt;&gt;"",F97&lt;&gt;"",G97&lt;&gt;"",C97&lt;&gt;""),"X",AND($E$12="Yield",D97&lt;="",E97&lt;&gt;"",F97&lt;&gt;"",G97&lt;&gt;"",$E$8&lt;&gt;"",$E$10&lt;&gt;"",C97&lt;&gt;""),"X",C97="","",1&gt;0,"")</f>
        <v/>
      </c>
      <c r="I97" s="7"/>
      <c r="J97" s="121" t="str" cm="1">
        <f t="array" ref="J97">_xlfn.IFS(AND($E$12="Concentration",E97&lt;&gt;""),E97,AND(OR($E$12="Volume", $E$12="Flow"),D97&lt;&gt;""),D97,AND($E$12="Load",D97&lt;&gt;"",E97&lt;&gt;""),D97*E97*conv_fact,AND($E$12="Yield",D97&lt;&gt;"",E97&lt;&gt;"", $E$8&lt;&gt;""),D97*E97*conv_fact/$E$8,AND($E$12="Depth",D97&lt;&gt;"",$E$8&lt;&gt;""),D97*conv_fact/$E$8,OR(D97="",E97=""),"")</f>
        <v/>
      </c>
      <c r="K97" s="121" t="str" cm="1">
        <f t="array" ref="K97">_xlfn.IFS(AND($E$12="Concentration",G97&lt;&gt;""),G97,AND(OR($E$12="Volume", $E$12="Flow"),F97&lt;&gt;""),F97,AND($E$12="Load",F97&lt;&gt;"",G97&lt;&gt;""),F97*G97*conv_fact,AND($E$12="Yield",F97&lt;&gt;"",G97&lt;&gt;"", $E$10&lt;&gt;""),F97*G97*conv_fact/$E$10, AND($E$12="Depth",F97&lt;&gt;"",$E$10&lt;&gt;""),F97*conv_fact/$E$10,OR(F97="",G97=""),"")</f>
        <v/>
      </c>
      <c r="L97" s="118" t="e">
        <f t="shared" si="23"/>
        <v>#N/A</v>
      </c>
      <c r="M97" s="118" t="e">
        <f t="shared" si="24"/>
        <v>#N/A</v>
      </c>
      <c r="O97" s="3" t="str">
        <f t="shared" si="25"/>
        <v/>
      </c>
      <c r="P97" s="3" t="str">
        <f t="shared" si="9"/>
        <v/>
      </c>
      <c r="Q97" t="str">
        <f t="shared" si="31"/>
        <v/>
      </c>
      <c r="S97" s="20" t="str">
        <v/>
      </c>
      <c r="T97" s="20" t="str">
        <f t="shared" si="26"/>
        <v/>
      </c>
      <c r="U97" t="str">
        <f t="shared" si="10"/>
        <v/>
      </c>
      <c r="V97" s="3" t="str">
        <f t="shared" si="32"/>
        <v/>
      </c>
      <c r="W97" s="20" t="str">
        <v/>
      </c>
      <c r="X97" s="20" t="str">
        <f t="shared" si="27"/>
        <v/>
      </c>
      <c r="Y97" t="str">
        <f t="shared" si="11"/>
        <v/>
      </c>
      <c r="AA97" t="str">
        <f t="shared" si="28"/>
        <v/>
      </c>
      <c r="AB97" t="str">
        <f t="shared" si="29"/>
        <v/>
      </c>
      <c r="AF97" s="20"/>
      <c r="AJ97" t="str">
        <f t="shared" si="30"/>
        <v/>
      </c>
      <c r="AK97" t="str">
        <f t="shared" si="16"/>
        <v/>
      </c>
      <c r="AL97" t="str">
        <f t="shared" si="17"/>
        <v/>
      </c>
      <c r="AM97" t="str">
        <f t="shared" si="12"/>
        <v/>
      </c>
      <c r="AN97" t="str">
        <f t="shared" si="13"/>
        <v/>
      </c>
      <c r="AQ97" s="20" t="str">
        <f t="shared" si="33"/>
        <v/>
      </c>
      <c r="AR97" s="3" t="str">
        <f t="shared" si="34"/>
        <v/>
      </c>
      <c r="AS97" s="3" t="str">
        <f t="shared" si="35"/>
        <v/>
      </c>
      <c r="AT97" t="str">
        <f t="shared" si="36"/>
        <v/>
      </c>
    </row>
    <row r="98" spans="1:46" x14ac:dyDescent="0.3">
      <c r="A98" s="7"/>
      <c r="B98" s="14" t="str">
        <f t="shared" si="7"/>
        <v/>
      </c>
      <c r="C98" s="25"/>
      <c r="D98" s="81"/>
      <c r="E98" s="81"/>
      <c r="F98" s="81"/>
      <c r="G98" s="81"/>
      <c r="H98" s="13" t="str" cm="1">
        <f t="array" ref="H98">_xlfn.IFS(AND($E$12="Concentration",E98&lt;&gt;"",G98&lt;&gt;"",C98&lt;&gt;""),"X",AND(OR($E$12="Flow",$E$12="Volume"),D98&lt;&gt;"",F98&lt;&gt;"",C98&lt;&gt;""),"X",AND($E$12="Depth",$E$10&lt;&gt;"",$E$8&lt;&gt;"",D98&lt;&gt;"",F98&lt;&gt;"",C98&lt;&gt;""),"X",AND($E$12="Load",D98&lt;="",E98&lt;&gt;"",F98&lt;&gt;"",G98&lt;&gt;"",C98&lt;&gt;""),"X",AND($E$12="Yield",D98&lt;="",E98&lt;&gt;"",F98&lt;&gt;"",G98&lt;&gt;"",$E$8&lt;&gt;"",$E$10&lt;&gt;"",C98&lt;&gt;""),"X",C98="","",1&gt;0,"")</f>
        <v/>
      </c>
      <c r="I98" s="7"/>
      <c r="J98" s="121" t="str" cm="1">
        <f t="array" ref="J98">_xlfn.IFS(AND($E$12="Concentration",E98&lt;&gt;""),E98,AND(OR($E$12="Volume", $E$12="Flow"),D98&lt;&gt;""),D98,AND($E$12="Load",D98&lt;&gt;"",E98&lt;&gt;""),D98*E98*conv_fact,AND($E$12="Yield",D98&lt;&gt;"",E98&lt;&gt;"", $E$8&lt;&gt;""),D98*E98*conv_fact/$E$8,AND($E$12="Depth",D98&lt;&gt;"",$E$8&lt;&gt;""),D98*conv_fact/$E$8,OR(D98="",E98=""),"")</f>
        <v/>
      </c>
      <c r="K98" s="121" t="str" cm="1">
        <f t="array" ref="K98">_xlfn.IFS(AND($E$12="Concentration",G98&lt;&gt;""),G98,AND(OR($E$12="Volume", $E$12="Flow"),F98&lt;&gt;""),F98,AND($E$12="Load",F98&lt;&gt;"",G98&lt;&gt;""),F98*G98*conv_fact,AND($E$12="Yield",F98&lt;&gt;"",G98&lt;&gt;"", $E$10&lt;&gt;""),F98*G98*conv_fact/$E$10, AND($E$12="Depth",F98&lt;&gt;"",$E$10&lt;&gt;""),F98*conv_fact/$E$10,OR(F98="",G98=""),"")</f>
        <v/>
      </c>
      <c r="L98" s="118" t="e">
        <f t="shared" si="23"/>
        <v>#N/A</v>
      </c>
      <c r="M98" s="118" t="e">
        <f t="shared" si="24"/>
        <v>#N/A</v>
      </c>
      <c r="O98" s="3" t="str">
        <f t="shared" si="25"/>
        <v/>
      </c>
      <c r="P98" s="3" t="str">
        <f t="shared" si="9"/>
        <v/>
      </c>
      <c r="Q98" t="str">
        <f t="shared" si="31"/>
        <v/>
      </c>
      <c r="S98" s="20" t="str">
        <v/>
      </c>
      <c r="T98" s="20" t="str">
        <f t="shared" si="26"/>
        <v/>
      </c>
      <c r="U98" t="str">
        <f t="shared" si="10"/>
        <v/>
      </c>
      <c r="V98" s="3" t="str">
        <f t="shared" si="32"/>
        <v/>
      </c>
      <c r="W98" s="20" t="str">
        <v/>
      </c>
      <c r="X98" s="20" t="str">
        <f t="shared" si="27"/>
        <v/>
      </c>
      <c r="Y98" t="str">
        <f t="shared" si="11"/>
        <v/>
      </c>
      <c r="AA98" t="str">
        <f t="shared" si="28"/>
        <v/>
      </c>
      <c r="AB98" t="str">
        <f t="shared" si="29"/>
        <v/>
      </c>
      <c r="AF98" s="20"/>
      <c r="AJ98" t="str">
        <f t="shared" si="30"/>
        <v/>
      </c>
      <c r="AK98" t="str">
        <f t="shared" si="16"/>
        <v/>
      </c>
      <c r="AL98" t="str">
        <f t="shared" si="17"/>
        <v/>
      </c>
      <c r="AM98" t="str">
        <f t="shared" si="12"/>
        <v/>
      </c>
      <c r="AN98" t="str">
        <f t="shared" si="13"/>
        <v/>
      </c>
      <c r="AQ98" s="20" t="str">
        <f t="shared" si="33"/>
        <v/>
      </c>
      <c r="AR98" s="3" t="str">
        <f t="shared" si="34"/>
        <v/>
      </c>
      <c r="AS98" s="3" t="str">
        <f t="shared" si="35"/>
        <v/>
      </c>
      <c r="AT98" t="str">
        <f t="shared" si="36"/>
        <v/>
      </c>
    </row>
    <row r="99" spans="1:46" x14ac:dyDescent="0.3">
      <c r="A99" s="7"/>
      <c r="B99" s="14" t="str">
        <f t="shared" si="7"/>
        <v/>
      </c>
      <c r="C99" s="25"/>
      <c r="D99" s="81"/>
      <c r="E99" s="81"/>
      <c r="F99" s="81"/>
      <c r="G99" s="81"/>
      <c r="H99" s="13" t="str" cm="1">
        <f t="array" ref="H99">_xlfn.IFS(AND($E$12="Concentration",E99&lt;&gt;"",G99&lt;&gt;"",C99&lt;&gt;""),"X",AND(OR($E$12="Flow",$E$12="Volume"),D99&lt;&gt;"",F99&lt;&gt;"",C99&lt;&gt;""),"X",AND($E$12="Depth",$E$10&lt;&gt;"",$E$8&lt;&gt;"",D99&lt;&gt;"",F99&lt;&gt;"",C99&lt;&gt;""),"X",AND($E$12="Load",D99&lt;="",E99&lt;&gt;"",F99&lt;&gt;"",G99&lt;&gt;"",C99&lt;&gt;""),"X",AND($E$12="Yield",D99&lt;="",E99&lt;&gt;"",F99&lt;&gt;"",G99&lt;&gt;"",$E$8&lt;&gt;"",$E$10&lt;&gt;"",C99&lt;&gt;""),"X",C99="","",1&gt;0,"")</f>
        <v/>
      </c>
      <c r="I99" s="7"/>
      <c r="J99" s="121" t="str" cm="1">
        <f t="array" ref="J99">_xlfn.IFS(AND($E$12="Concentration",E99&lt;&gt;""),E99,AND(OR($E$12="Volume", $E$12="Flow"),D99&lt;&gt;""),D99,AND($E$12="Load",D99&lt;&gt;"",E99&lt;&gt;""),D99*E99*conv_fact,AND($E$12="Yield",D99&lt;&gt;"",E99&lt;&gt;"", $E$8&lt;&gt;""),D99*E99*conv_fact/$E$8,AND($E$12="Depth",D99&lt;&gt;"",$E$8&lt;&gt;""),D99*conv_fact/$E$8,OR(D99="",E99=""),"")</f>
        <v/>
      </c>
      <c r="K99" s="121" t="str" cm="1">
        <f t="array" ref="K99">_xlfn.IFS(AND($E$12="Concentration",G99&lt;&gt;""),G99,AND(OR($E$12="Volume", $E$12="Flow"),F99&lt;&gt;""),F99,AND($E$12="Load",F99&lt;&gt;"",G99&lt;&gt;""),F99*G99*conv_fact,AND($E$12="Yield",F99&lt;&gt;"",G99&lt;&gt;"", $E$10&lt;&gt;""),F99*G99*conv_fact/$E$10, AND($E$12="Depth",F99&lt;&gt;"",$E$10&lt;&gt;""),F99*conv_fact/$E$10,OR(F99="",G99=""),"")</f>
        <v/>
      </c>
      <c r="L99" s="118" t="e">
        <f t="shared" ref="L99:L119" si="37">IF(J99&lt;&gt;"",J99,NA())</f>
        <v>#N/A</v>
      </c>
      <c r="M99" s="118" t="e">
        <f t="shared" ref="M99:M119" si="38">IF(K99&lt;&gt;"",K99,NA())</f>
        <v>#N/A</v>
      </c>
      <c r="O99" s="3" t="str">
        <f t="shared" ref="O99:O120" si="39">IF(B99&lt;&gt;"", _xlfn.NORM.S.INV((B99-0.375)/(cnt+0.25)), "")</f>
        <v/>
      </c>
      <c r="P99" s="3" t="str">
        <f t="shared" si="9"/>
        <v/>
      </c>
      <c r="Q99" t="str">
        <f t="shared" si="31"/>
        <v/>
      </c>
      <c r="S99" s="20" t="str">
        <v/>
      </c>
      <c r="T99" s="20" t="str">
        <f t="shared" ref="T99:T119" si="40">IF(B99&lt;&gt;"",(S99-AVERAGE(CT_sort))^2, "")</f>
        <v/>
      </c>
      <c r="U99" t="str">
        <f t="shared" si="10"/>
        <v/>
      </c>
      <c r="V99" s="3" t="str">
        <f t="shared" si="32"/>
        <v/>
      </c>
      <c r="W99" s="20" t="str">
        <v/>
      </c>
      <c r="X99" s="20" t="str">
        <f t="shared" ref="X99:X119" si="41">IF(B99&lt;&gt;"",(W99-AVERAGE(TX_sort))^2, "")</f>
        <v/>
      </c>
      <c r="Y99" t="str">
        <f t="shared" si="11"/>
        <v/>
      </c>
      <c r="AA99" t="str">
        <f t="shared" ref="AA99:AA119" si="42">IF(B99="", "", _xlfn.RANK.EQ(J99,$J$35:$K$119,1)+(COUNT($J$35:$K$119)+1-_xlfn.RANK.EQ(J99,$J$35:$K$119,1)-_xlfn.RANK.EQ(J99,$J$35:$K$119,0))/2)</f>
        <v/>
      </c>
      <c r="AB99" t="str">
        <f t="shared" ref="AB99:AB119" si="43">IF(B99="", "", _xlfn.RANK.EQ(K99,$J$35:$K$119,1)+(COUNT($J$35:$K$119)+1-_xlfn.RANK.EQ(K99,$J$35:$K$119,1)-_xlfn.RANK.EQ(K99,$J$35:$K$119,0))/2)</f>
        <v/>
      </c>
      <c r="AF99" s="20"/>
      <c r="AJ99" t="str">
        <f t="shared" ref="AJ99:AJ119" si="44">IF(B99="", "", J99-K99)</f>
        <v/>
      </c>
      <c r="AK99" t="str">
        <f t="shared" si="16"/>
        <v/>
      </c>
      <c r="AL99" t="str">
        <f t="shared" si="17"/>
        <v/>
      </c>
      <c r="AM99" t="str">
        <f t="shared" si="12"/>
        <v/>
      </c>
      <c r="AN99" t="str">
        <f t="shared" si="13"/>
        <v/>
      </c>
      <c r="AQ99" s="20" t="str">
        <f t="shared" si="33"/>
        <v/>
      </c>
      <c r="AR99" s="3" t="str">
        <f t="shared" si="34"/>
        <v/>
      </c>
      <c r="AS99" s="3" t="str">
        <f t="shared" si="35"/>
        <v/>
      </c>
      <c r="AT99" t="str">
        <f t="shared" si="36"/>
        <v/>
      </c>
    </row>
    <row r="100" spans="1:46" x14ac:dyDescent="0.3">
      <c r="A100" s="7"/>
      <c r="B100" s="14" t="str">
        <f t="shared" ref="B100:B120" si="45">IF(H100&lt;&gt;"",IF(ISTEXT(B99),1,B99+1),"")</f>
        <v/>
      </c>
      <c r="C100" s="25"/>
      <c r="D100" s="81"/>
      <c r="E100" s="81"/>
      <c r="F100" s="81"/>
      <c r="G100" s="81"/>
      <c r="H100" s="13" t="str" cm="1">
        <f t="array" ref="H100">_xlfn.IFS(AND($E$12="Concentration",E100&lt;&gt;"",G100&lt;&gt;"",C100&lt;&gt;""),"X",AND(OR($E$12="Flow",$E$12="Volume"),D100&lt;&gt;"",F100&lt;&gt;"",C100&lt;&gt;""),"X",AND($E$12="Depth",$E$10&lt;&gt;"",$E$8&lt;&gt;"",D100&lt;&gt;"",F100&lt;&gt;"",C100&lt;&gt;""),"X",AND($E$12="Load",D100&lt;="",E100&lt;&gt;"",F100&lt;&gt;"",G100&lt;&gt;"",C100&lt;&gt;""),"X",AND($E$12="Yield",D100&lt;="",E100&lt;&gt;"",F100&lt;&gt;"",G100&lt;&gt;"",$E$8&lt;&gt;"",$E$10&lt;&gt;"",C100&lt;&gt;""),"X",C100="","",1&gt;0,"")</f>
        <v/>
      </c>
      <c r="I100" s="7"/>
      <c r="J100" s="121" t="str" cm="1">
        <f t="array" ref="J100">_xlfn.IFS(AND($E$12="Concentration",E100&lt;&gt;""),E100,AND(OR($E$12="Volume", $E$12="Flow"),D100&lt;&gt;""),D100,AND($E$12="Load",D100&lt;&gt;"",E100&lt;&gt;""),D100*E100*conv_fact,AND($E$12="Yield",D100&lt;&gt;"",E100&lt;&gt;"", $E$8&lt;&gt;""),D100*E100*conv_fact/$E$8,AND($E$12="Depth",D100&lt;&gt;"",$E$8&lt;&gt;""),D100*conv_fact/$E$8,OR(D100="",E100=""),"")</f>
        <v/>
      </c>
      <c r="K100" s="121" t="str" cm="1">
        <f t="array" ref="K100">_xlfn.IFS(AND($E$12="Concentration",G100&lt;&gt;""),G100,AND(OR($E$12="Volume", $E$12="Flow"),F100&lt;&gt;""),F100,AND($E$12="Load",F100&lt;&gt;"",G100&lt;&gt;""),F100*G100*conv_fact,AND($E$12="Yield",F100&lt;&gt;"",G100&lt;&gt;"", $E$10&lt;&gt;""),F100*G100*conv_fact/$E$10, AND($E$12="Depth",F100&lt;&gt;"",$E$10&lt;&gt;""),F100*conv_fact/$E$10,OR(F100="",G100=""),"")</f>
        <v/>
      </c>
      <c r="L100" s="118" t="e">
        <f t="shared" si="37"/>
        <v>#N/A</v>
      </c>
      <c r="M100" s="118" t="e">
        <f t="shared" si="38"/>
        <v>#N/A</v>
      </c>
      <c r="O100" s="3" t="str">
        <f t="shared" si="39"/>
        <v/>
      </c>
      <c r="P100" s="3" t="str">
        <f t="shared" ref="P100:P120" si="46">IF(B100&lt;&gt;"", (SUMSQ($O$35:$O$119))^(-0.5)*O100, "")</f>
        <v/>
      </c>
      <c r="Q100" t="str">
        <f t="shared" si="31"/>
        <v/>
      </c>
      <c r="S100" s="20" t="str">
        <v/>
      </c>
      <c r="T100" s="20" t="str">
        <f t="shared" si="40"/>
        <v/>
      </c>
      <c r="U100" t="str">
        <f t="shared" ref="U100:U119" si="47">IF(B100="", "", Q100*S100)</f>
        <v/>
      </c>
      <c r="V100" s="3" t="str">
        <f t="shared" si="32"/>
        <v/>
      </c>
      <c r="W100" s="20" t="str">
        <v/>
      </c>
      <c r="X100" s="20" t="str">
        <f t="shared" si="41"/>
        <v/>
      </c>
      <c r="Y100" t="str">
        <f t="shared" ref="Y100:Y119" si="48">IF(W100="", "",W100*Q100)</f>
        <v/>
      </c>
      <c r="AA100" t="str">
        <f t="shared" si="42"/>
        <v/>
      </c>
      <c r="AB100" t="str">
        <f t="shared" si="43"/>
        <v/>
      </c>
      <c r="AF100" s="20"/>
      <c r="AJ100" t="str">
        <f t="shared" si="44"/>
        <v/>
      </c>
      <c r="AK100" t="str">
        <f t="shared" ref="AK100:AK119" si="49">IF(OR(B100="",AJ100=0),"",ABS(AJ100))</f>
        <v/>
      </c>
      <c r="AL100" t="str">
        <f t="shared" ref="AL100:AL119" si="50">IF(OR(B100="",AJ100=0),"",_xlfn.RANK.AVG(AK100,$AK$35:$AK$119,1))</f>
        <v/>
      </c>
      <c r="AM100" t="str">
        <f t="shared" ref="AM100:AM119" si="51">IF(AJ100&gt;0, AL100, "")</f>
        <v/>
      </c>
      <c r="AN100" t="str">
        <f t="shared" ref="AN100:AN119" si="52">IF(AJ100&lt;0, AL100, "")</f>
        <v/>
      </c>
      <c r="AQ100" s="20" t="str">
        <f t="shared" si="33"/>
        <v/>
      </c>
      <c r="AR100" s="3" t="str">
        <f t="shared" si="34"/>
        <v/>
      </c>
      <c r="AS100" s="3" t="str">
        <f t="shared" si="35"/>
        <v/>
      </c>
      <c r="AT100" t="str">
        <f t="shared" si="36"/>
        <v/>
      </c>
    </row>
    <row r="101" spans="1:46" x14ac:dyDescent="0.3">
      <c r="A101" s="7"/>
      <c r="B101" s="14" t="str">
        <f t="shared" si="45"/>
        <v/>
      </c>
      <c r="C101" s="25"/>
      <c r="D101" s="81"/>
      <c r="E101" s="81"/>
      <c r="F101" s="81"/>
      <c r="G101" s="81"/>
      <c r="H101" s="13" t="str" cm="1">
        <f t="array" ref="H101">_xlfn.IFS(AND($E$12="Concentration",E101&lt;&gt;"",G101&lt;&gt;"",C101&lt;&gt;""),"X",AND(OR($E$12="Flow",$E$12="Volume"),D101&lt;&gt;"",F101&lt;&gt;"",C101&lt;&gt;""),"X",AND($E$12="Depth",$E$10&lt;&gt;"",$E$8&lt;&gt;"",D101&lt;&gt;"",F101&lt;&gt;"",C101&lt;&gt;""),"X",AND($E$12="Load",D101&lt;="",E101&lt;&gt;"",F101&lt;&gt;"",G101&lt;&gt;"",C101&lt;&gt;""),"X",AND($E$12="Yield",D101&lt;="",E101&lt;&gt;"",F101&lt;&gt;"",G101&lt;&gt;"",$E$8&lt;&gt;"",$E$10&lt;&gt;"",C101&lt;&gt;""),"X",C101="","",1&gt;0,"")</f>
        <v/>
      </c>
      <c r="I101" s="7"/>
      <c r="J101" s="121" t="str" cm="1">
        <f t="array" ref="J101">_xlfn.IFS(AND($E$12="Concentration",E101&lt;&gt;""),E101,AND(OR($E$12="Volume", $E$12="Flow"),D101&lt;&gt;""),D101,AND($E$12="Load",D101&lt;&gt;"",E101&lt;&gt;""),D101*E101*conv_fact,AND($E$12="Yield",D101&lt;&gt;"",E101&lt;&gt;"", $E$8&lt;&gt;""),D101*E101*conv_fact/$E$8,AND($E$12="Depth",D101&lt;&gt;"",$E$8&lt;&gt;""),D101*conv_fact/$E$8,OR(D101="",E101=""),"")</f>
        <v/>
      </c>
      <c r="K101" s="121" t="str" cm="1">
        <f t="array" ref="K101">_xlfn.IFS(AND($E$12="Concentration",G101&lt;&gt;""),G101,AND(OR($E$12="Volume", $E$12="Flow"),F101&lt;&gt;""),F101,AND($E$12="Load",F101&lt;&gt;"",G101&lt;&gt;""),F101*G101*conv_fact,AND($E$12="Yield",F101&lt;&gt;"",G101&lt;&gt;"", $E$10&lt;&gt;""),F101*G101*conv_fact/$E$10, AND($E$12="Depth",F101&lt;&gt;"",$E$10&lt;&gt;""),F101*conv_fact/$E$10,OR(F101="",G101=""),"")</f>
        <v/>
      </c>
      <c r="L101" s="118" t="e">
        <f t="shared" si="37"/>
        <v>#N/A</v>
      </c>
      <c r="M101" s="118" t="e">
        <f t="shared" si="38"/>
        <v>#N/A</v>
      </c>
      <c r="O101" s="3" t="str">
        <f t="shared" si="39"/>
        <v/>
      </c>
      <c r="P101" s="3" t="str">
        <f t="shared" si="46"/>
        <v/>
      </c>
      <c r="Q101" t="str">
        <f t="shared" ref="Q101:Q119" si="53">IF(B101="", "", IF(B101=cnt,P101+0.221157*(1/SQRT(cnt))-0.147981*(1/SQRT(cnt))^2-2.07119*(1/SQRT(cnt))^3+4.434685*(1/SQRT(cnt))^4-2.706056*(1/SQRT(cnt))^5, IF(B101=(cnt-1),P101+0.042981*(1/SQRT(cnt))-0.293762*(1/SQRT(cnt))^2-1.752461*(1/SQRT(cnt))^3+5.682633*(1/SQRT(cnt))^4-3.582663*(1/SQRT(cnt))^5,O101/SQRT($P$23))))</f>
        <v/>
      </c>
      <c r="S101" s="20" t="str">
        <v/>
      </c>
      <c r="T101" s="20" t="str">
        <f t="shared" si="40"/>
        <v/>
      </c>
      <c r="U101" t="str">
        <f t="shared" si="47"/>
        <v/>
      </c>
      <c r="V101" s="3" t="str">
        <f t="shared" si="32"/>
        <v/>
      </c>
      <c r="W101" s="20" t="str">
        <v/>
      </c>
      <c r="X101" s="20" t="str">
        <f t="shared" si="41"/>
        <v/>
      </c>
      <c r="Y101" t="str">
        <f t="shared" si="48"/>
        <v/>
      </c>
      <c r="AA101" t="str">
        <f t="shared" si="42"/>
        <v/>
      </c>
      <c r="AB101" t="str">
        <f t="shared" si="43"/>
        <v/>
      </c>
      <c r="AF101" s="20"/>
      <c r="AJ101" t="str">
        <f t="shared" si="44"/>
        <v/>
      </c>
      <c r="AK101" t="str">
        <f t="shared" si="49"/>
        <v/>
      </c>
      <c r="AL101" t="str">
        <f t="shared" si="50"/>
        <v/>
      </c>
      <c r="AM101" t="str">
        <f t="shared" si="51"/>
        <v/>
      </c>
      <c r="AN101" t="str">
        <f t="shared" si="52"/>
        <v/>
      </c>
      <c r="AQ101" s="20" t="str">
        <f t="shared" si="33"/>
        <v/>
      </c>
      <c r="AR101" s="3" t="str">
        <f t="shared" si="34"/>
        <v/>
      </c>
      <c r="AS101" s="3" t="str">
        <f t="shared" si="35"/>
        <v/>
      </c>
      <c r="AT101" t="str">
        <f t="shared" si="36"/>
        <v/>
      </c>
    </row>
    <row r="102" spans="1:46" x14ac:dyDescent="0.3">
      <c r="A102" s="7"/>
      <c r="B102" s="14" t="str">
        <f t="shared" si="45"/>
        <v/>
      </c>
      <c r="C102" s="25"/>
      <c r="D102" s="81"/>
      <c r="E102" s="81"/>
      <c r="F102" s="81"/>
      <c r="G102" s="81"/>
      <c r="H102" s="13" t="str" cm="1">
        <f t="array" ref="H102">_xlfn.IFS(AND($E$12="Concentration",E102&lt;&gt;"",G102&lt;&gt;"",C102&lt;&gt;""),"X",AND(OR($E$12="Flow",$E$12="Volume"),D102&lt;&gt;"",F102&lt;&gt;"",C102&lt;&gt;""),"X",AND($E$12="Depth",$E$10&lt;&gt;"",$E$8&lt;&gt;"",D102&lt;&gt;"",F102&lt;&gt;"",C102&lt;&gt;""),"X",AND($E$12="Load",D102&lt;="",E102&lt;&gt;"",F102&lt;&gt;"",G102&lt;&gt;"",C102&lt;&gt;""),"X",AND($E$12="Yield",D102&lt;="",E102&lt;&gt;"",F102&lt;&gt;"",G102&lt;&gt;"",$E$8&lt;&gt;"",$E$10&lt;&gt;"",C102&lt;&gt;""),"X",C102="","",1&gt;0,"")</f>
        <v/>
      </c>
      <c r="I102" s="7"/>
      <c r="J102" s="121" t="str" cm="1">
        <f t="array" ref="J102">_xlfn.IFS(AND($E$12="Concentration",E102&lt;&gt;""),E102,AND(OR($E$12="Volume", $E$12="Flow"),D102&lt;&gt;""),D102,AND($E$12="Load",D102&lt;&gt;"",E102&lt;&gt;""),D102*E102*conv_fact,AND($E$12="Yield",D102&lt;&gt;"",E102&lt;&gt;"", $E$8&lt;&gt;""),D102*E102*conv_fact/$E$8,AND($E$12="Depth",D102&lt;&gt;"",$E$8&lt;&gt;""),D102*conv_fact/$E$8,OR(D102="",E102=""),"")</f>
        <v/>
      </c>
      <c r="K102" s="121" t="str" cm="1">
        <f t="array" ref="K102">_xlfn.IFS(AND($E$12="Concentration",G102&lt;&gt;""),G102,AND(OR($E$12="Volume", $E$12="Flow"),F102&lt;&gt;""),F102,AND($E$12="Load",F102&lt;&gt;"",G102&lt;&gt;""),F102*G102*conv_fact,AND($E$12="Yield",F102&lt;&gt;"",G102&lt;&gt;"", $E$10&lt;&gt;""),F102*G102*conv_fact/$E$10, AND($E$12="Depth",F102&lt;&gt;"",$E$10&lt;&gt;""),F102*conv_fact/$E$10,OR(F102="",G102=""),"")</f>
        <v/>
      </c>
      <c r="L102" s="118" t="e">
        <f t="shared" si="37"/>
        <v>#N/A</v>
      </c>
      <c r="M102" s="118" t="e">
        <f t="shared" si="38"/>
        <v>#N/A</v>
      </c>
      <c r="O102" s="3" t="str">
        <f t="shared" si="39"/>
        <v/>
      </c>
      <c r="P102" s="3" t="str">
        <f t="shared" si="46"/>
        <v/>
      </c>
      <c r="Q102" t="str">
        <f t="shared" si="53"/>
        <v/>
      </c>
      <c r="S102" s="20" t="str">
        <v/>
      </c>
      <c r="T102" s="20" t="str">
        <f t="shared" si="40"/>
        <v/>
      </c>
      <c r="U102" t="str">
        <f t="shared" si="47"/>
        <v/>
      </c>
      <c r="V102" s="3" t="str">
        <f t="shared" si="32"/>
        <v/>
      </c>
      <c r="W102" s="20" t="str">
        <v/>
      </c>
      <c r="X102" s="20" t="str">
        <f t="shared" si="41"/>
        <v/>
      </c>
      <c r="Y102" t="str">
        <f t="shared" si="48"/>
        <v/>
      </c>
      <c r="AA102" t="str">
        <f t="shared" si="42"/>
        <v/>
      </c>
      <c r="AB102" t="str">
        <f t="shared" si="43"/>
        <v/>
      </c>
      <c r="AF102" s="20"/>
      <c r="AJ102" t="str">
        <f t="shared" si="44"/>
        <v/>
      </c>
      <c r="AK102" t="str">
        <f t="shared" si="49"/>
        <v/>
      </c>
      <c r="AL102" t="str">
        <f t="shared" si="50"/>
        <v/>
      </c>
      <c r="AM102" t="str">
        <f t="shared" si="51"/>
        <v/>
      </c>
      <c r="AN102" t="str">
        <f t="shared" si="52"/>
        <v/>
      </c>
      <c r="AQ102" s="20" t="str">
        <f t="shared" si="33"/>
        <v/>
      </c>
      <c r="AR102" s="3" t="str">
        <f t="shared" si="34"/>
        <v/>
      </c>
      <c r="AS102" s="3" t="str">
        <f t="shared" si="35"/>
        <v/>
      </c>
      <c r="AT102" t="str">
        <f t="shared" si="36"/>
        <v/>
      </c>
    </row>
    <row r="103" spans="1:46" x14ac:dyDescent="0.3">
      <c r="A103" s="7"/>
      <c r="B103" s="14" t="str">
        <f t="shared" si="45"/>
        <v/>
      </c>
      <c r="C103" s="26"/>
      <c r="D103" s="81"/>
      <c r="E103" s="81"/>
      <c r="F103" s="81"/>
      <c r="G103" s="81"/>
      <c r="H103" s="13" t="str" cm="1">
        <f t="array" ref="H103">_xlfn.IFS(AND($E$12="Concentration",E103&lt;&gt;"",G103&lt;&gt;"",C103&lt;&gt;""),"X",AND(OR($E$12="Flow",$E$12="Volume"),D103&lt;&gt;"",F103&lt;&gt;"",C103&lt;&gt;""),"X",AND($E$12="Depth",$E$10&lt;&gt;"",$E$8&lt;&gt;"",D103&lt;&gt;"",F103&lt;&gt;"",C103&lt;&gt;""),"X",AND($E$12="Load",D103&lt;="",E103&lt;&gt;"",F103&lt;&gt;"",G103&lt;&gt;"",C103&lt;&gt;""),"X",AND($E$12="Yield",D103&lt;="",E103&lt;&gt;"",F103&lt;&gt;"",G103&lt;&gt;"",$E$8&lt;&gt;"",$E$10&lt;&gt;"",C103&lt;&gt;""),"X",C103="","",1&gt;0,"")</f>
        <v/>
      </c>
      <c r="I103" s="7"/>
      <c r="J103" s="121" t="str" cm="1">
        <f t="array" ref="J103">_xlfn.IFS(AND($E$12="Concentration",E103&lt;&gt;""),E103,AND(OR($E$12="Volume", $E$12="Flow"),D103&lt;&gt;""),D103,AND($E$12="Load",D103&lt;&gt;"",E103&lt;&gt;""),D103*E103*conv_fact,AND($E$12="Yield",D103&lt;&gt;"",E103&lt;&gt;"", $E$8&lt;&gt;""),D103*E103*conv_fact/$E$8,AND($E$12="Depth",D103&lt;&gt;"",$E$8&lt;&gt;""),D103*conv_fact/$E$8,OR(D103="",E103=""),"")</f>
        <v/>
      </c>
      <c r="K103" s="121" t="str" cm="1">
        <f t="array" ref="K103">_xlfn.IFS(AND($E$12="Concentration",G103&lt;&gt;""),G103,AND(OR($E$12="Volume", $E$12="Flow"),F103&lt;&gt;""),F103,AND($E$12="Load",F103&lt;&gt;"",G103&lt;&gt;""),F103*G103*conv_fact,AND($E$12="Yield",F103&lt;&gt;"",G103&lt;&gt;"", $E$10&lt;&gt;""),F103*G103*conv_fact/$E$10, AND($E$12="Depth",F103&lt;&gt;"",$E$10&lt;&gt;""),F103*conv_fact/$E$10,OR(F103="",G103=""),"")</f>
        <v/>
      </c>
      <c r="L103" s="118" t="e">
        <f t="shared" si="37"/>
        <v>#N/A</v>
      </c>
      <c r="M103" s="118" t="e">
        <f t="shared" si="38"/>
        <v>#N/A</v>
      </c>
      <c r="O103" s="3" t="str">
        <f t="shared" si="39"/>
        <v/>
      </c>
      <c r="P103" s="3" t="str">
        <f t="shared" si="46"/>
        <v/>
      </c>
      <c r="Q103" t="str">
        <f t="shared" si="53"/>
        <v/>
      </c>
      <c r="S103" s="20" t="str">
        <v/>
      </c>
      <c r="T103" s="20" t="str">
        <f t="shared" si="40"/>
        <v/>
      </c>
      <c r="U103" t="str">
        <f t="shared" si="47"/>
        <v/>
      </c>
      <c r="V103" s="3" t="str">
        <f t="shared" si="32"/>
        <v/>
      </c>
      <c r="W103" s="20" t="str">
        <v/>
      </c>
      <c r="X103" s="20" t="str">
        <f t="shared" si="41"/>
        <v/>
      </c>
      <c r="Y103" t="str">
        <f t="shared" si="48"/>
        <v/>
      </c>
      <c r="AA103" t="str">
        <f t="shared" si="42"/>
        <v/>
      </c>
      <c r="AB103" t="str">
        <f t="shared" si="43"/>
        <v/>
      </c>
      <c r="AF103" s="20"/>
      <c r="AJ103" t="str">
        <f t="shared" si="44"/>
        <v/>
      </c>
      <c r="AK103" t="str">
        <f t="shared" si="49"/>
        <v/>
      </c>
      <c r="AL103" t="str">
        <f t="shared" si="50"/>
        <v/>
      </c>
      <c r="AM103" t="str">
        <f t="shared" si="51"/>
        <v/>
      </c>
      <c r="AN103" t="str">
        <f t="shared" si="52"/>
        <v/>
      </c>
      <c r="AQ103" s="20" t="str">
        <f t="shared" si="33"/>
        <v/>
      </c>
      <c r="AR103" s="3" t="str">
        <f t="shared" si="34"/>
        <v/>
      </c>
      <c r="AS103" s="3" t="str">
        <f t="shared" si="35"/>
        <v/>
      </c>
      <c r="AT103" t="str">
        <f t="shared" si="36"/>
        <v/>
      </c>
    </row>
    <row r="104" spans="1:46" x14ac:dyDescent="0.3">
      <c r="A104" s="7"/>
      <c r="B104" s="14" t="str">
        <f t="shared" si="45"/>
        <v/>
      </c>
      <c r="C104" s="26"/>
      <c r="D104" s="81"/>
      <c r="E104" s="81"/>
      <c r="F104" s="81"/>
      <c r="G104" s="81"/>
      <c r="H104" s="13" t="str" cm="1">
        <f t="array" ref="H104">_xlfn.IFS(AND($E$12="Concentration",E104&lt;&gt;"",G104&lt;&gt;"",C104&lt;&gt;""),"X",AND(OR($E$12="Flow",$E$12="Volume"),D104&lt;&gt;"",F104&lt;&gt;"",C104&lt;&gt;""),"X",AND($E$12="Depth",$E$10&lt;&gt;"",$E$8&lt;&gt;"",D104&lt;&gt;"",F104&lt;&gt;"",C104&lt;&gt;""),"X",AND($E$12="Load",D104&lt;="",E104&lt;&gt;"",F104&lt;&gt;"",G104&lt;&gt;"",C104&lt;&gt;""),"X",AND($E$12="Yield",D104&lt;="",E104&lt;&gt;"",F104&lt;&gt;"",G104&lt;&gt;"",$E$8&lt;&gt;"",$E$10&lt;&gt;"",C104&lt;&gt;""),"X",C104="","",1&gt;0,"")</f>
        <v/>
      </c>
      <c r="I104" s="7"/>
      <c r="J104" s="121" t="str" cm="1">
        <f t="array" ref="J104">_xlfn.IFS(AND($E$12="Concentration",E104&lt;&gt;""),E104,AND(OR($E$12="Volume", $E$12="Flow"),D104&lt;&gt;""),D104,AND($E$12="Load",D104&lt;&gt;"",E104&lt;&gt;""),D104*E104*conv_fact,AND($E$12="Yield",D104&lt;&gt;"",E104&lt;&gt;"", $E$8&lt;&gt;""),D104*E104*conv_fact/$E$8,AND($E$12="Depth",D104&lt;&gt;"",$E$8&lt;&gt;""),D104*conv_fact/$E$8,OR(D104="",E104=""),"")</f>
        <v/>
      </c>
      <c r="K104" s="121" t="str" cm="1">
        <f t="array" ref="K104">_xlfn.IFS(AND($E$12="Concentration",G104&lt;&gt;""),G104,AND(OR($E$12="Volume", $E$12="Flow"),F104&lt;&gt;""),F104,AND($E$12="Load",F104&lt;&gt;"",G104&lt;&gt;""),F104*G104*conv_fact,AND($E$12="Yield",F104&lt;&gt;"",G104&lt;&gt;"", $E$10&lt;&gt;""),F104*G104*conv_fact/$E$10, AND($E$12="Depth",F104&lt;&gt;"",$E$10&lt;&gt;""),F104*conv_fact/$E$10,OR(F104="",G104=""),"")</f>
        <v/>
      </c>
      <c r="L104" s="118" t="e">
        <f t="shared" si="37"/>
        <v>#N/A</v>
      </c>
      <c r="M104" s="118" t="e">
        <f t="shared" si="38"/>
        <v>#N/A</v>
      </c>
      <c r="O104" s="3" t="str">
        <f t="shared" si="39"/>
        <v/>
      </c>
      <c r="P104" s="3" t="str">
        <f t="shared" si="46"/>
        <v/>
      </c>
      <c r="Q104" t="str">
        <f t="shared" si="53"/>
        <v/>
      </c>
      <c r="S104" s="20" t="str">
        <v/>
      </c>
      <c r="T104" s="20" t="str">
        <f t="shared" si="40"/>
        <v/>
      </c>
      <c r="U104" t="str">
        <f t="shared" si="47"/>
        <v/>
      </c>
      <c r="V104" s="3" t="str">
        <f t="shared" si="32"/>
        <v/>
      </c>
      <c r="W104" s="20" t="str">
        <v/>
      </c>
      <c r="X104" s="20" t="str">
        <f t="shared" si="41"/>
        <v/>
      </c>
      <c r="Y104" t="str">
        <f t="shared" si="48"/>
        <v/>
      </c>
      <c r="AA104" t="str">
        <f t="shared" si="42"/>
        <v/>
      </c>
      <c r="AB104" t="str">
        <f t="shared" si="43"/>
        <v/>
      </c>
      <c r="AF104" s="20"/>
      <c r="AJ104" t="str">
        <f t="shared" si="44"/>
        <v/>
      </c>
      <c r="AK104" t="str">
        <f t="shared" si="49"/>
        <v/>
      </c>
      <c r="AL104" t="str">
        <f t="shared" si="50"/>
        <v/>
      </c>
      <c r="AM104" t="str">
        <f t="shared" si="51"/>
        <v/>
      </c>
      <c r="AN104" t="str">
        <f t="shared" si="52"/>
        <v/>
      </c>
      <c r="AQ104" s="20" t="str">
        <f t="shared" si="33"/>
        <v/>
      </c>
      <c r="AR104" s="3" t="str">
        <f t="shared" si="34"/>
        <v/>
      </c>
      <c r="AS104" s="3" t="str">
        <f t="shared" si="35"/>
        <v/>
      </c>
      <c r="AT104" t="str">
        <f t="shared" si="36"/>
        <v/>
      </c>
    </row>
    <row r="105" spans="1:46" x14ac:dyDescent="0.3">
      <c r="A105" s="7"/>
      <c r="B105" s="14" t="str">
        <f t="shared" si="45"/>
        <v/>
      </c>
      <c r="C105" s="26"/>
      <c r="D105" s="81"/>
      <c r="E105" s="81"/>
      <c r="F105" s="81"/>
      <c r="G105" s="81"/>
      <c r="H105" s="13" t="str" cm="1">
        <f t="array" ref="H105">_xlfn.IFS(AND($E$12="Concentration",E105&lt;&gt;"",G105&lt;&gt;"",C105&lt;&gt;""),"X",AND(OR($E$12="Flow",$E$12="Volume"),D105&lt;&gt;"",F105&lt;&gt;"",C105&lt;&gt;""),"X",AND($E$12="Depth",$E$10&lt;&gt;"",$E$8&lt;&gt;"",D105&lt;&gt;"",F105&lt;&gt;"",C105&lt;&gt;""),"X",AND($E$12="Load",D105&lt;="",E105&lt;&gt;"",F105&lt;&gt;"",G105&lt;&gt;"",C105&lt;&gt;""),"X",AND($E$12="Yield",D105&lt;="",E105&lt;&gt;"",F105&lt;&gt;"",G105&lt;&gt;"",$E$8&lt;&gt;"",$E$10&lt;&gt;"",C105&lt;&gt;""),"X",C105="","",1&gt;0,"")</f>
        <v/>
      </c>
      <c r="I105" s="7"/>
      <c r="J105" s="121" t="str" cm="1">
        <f t="array" ref="J105">_xlfn.IFS(AND($E$12="Concentration",E105&lt;&gt;""),E105,AND(OR($E$12="Volume", $E$12="Flow"),D105&lt;&gt;""),D105,AND($E$12="Load",D105&lt;&gt;"",E105&lt;&gt;""),D105*E105*conv_fact,AND($E$12="Yield",D105&lt;&gt;"",E105&lt;&gt;"", $E$8&lt;&gt;""),D105*E105*conv_fact/$E$8,AND($E$12="Depth",D105&lt;&gt;"",$E$8&lt;&gt;""),D105*conv_fact/$E$8,OR(D105="",E105=""),"")</f>
        <v/>
      </c>
      <c r="K105" s="121" t="str" cm="1">
        <f t="array" ref="K105">_xlfn.IFS(AND($E$12="Concentration",G105&lt;&gt;""),G105,AND(OR($E$12="Volume", $E$12="Flow"),F105&lt;&gt;""),F105,AND($E$12="Load",F105&lt;&gt;"",G105&lt;&gt;""),F105*G105*conv_fact,AND($E$12="Yield",F105&lt;&gt;"",G105&lt;&gt;"", $E$10&lt;&gt;""),F105*G105*conv_fact/$E$10, AND($E$12="Depth",F105&lt;&gt;"",$E$10&lt;&gt;""),F105*conv_fact/$E$10,OR(F105="",G105=""),"")</f>
        <v/>
      </c>
      <c r="L105" s="118" t="e">
        <f t="shared" si="37"/>
        <v>#N/A</v>
      </c>
      <c r="M105" s="118" t="e">
        <f t="shared" si="38"/>
        <v>#N/A</v>
      </c>
      <c r="O105" s="3" t="str">
        <f t="shared" si="39"/>
        <v/>
      </c>
      <c r="P105" s="3" t="str">
        <f t="shared" si="46"/>
        <v/>
      </c>
      <c r="Q105" t="str">
        <f t="shared" si="53"/>
        <v/>
      </c>
      <c r="S105" s="20" t="str">
        <v/>
      </c>
      <c r="T105" s="20" t="str">
        <f t="shared" si="40"/>
        <v/>
      </c>
      <c r="U105" t="str">
        <f t="shared" si="47"/>
        <v/>
      </c>
      <c r="V105" s="3" t="str">
        <f t="shared" ref="V105:V119" si="54">IF(B105&lt;&gt;"", (SUMSQ($U$41:$U$119))^(-0.5)*U105, "")</f>
        <v/>
      </c>
      <c r="W105" s="20" t="str">
        <v/>
      </c>
      <c r="X105" s="20" t="str">
        <f t="shared" si="41"/>
        <v/>
      </c>
      <c r="Y105" t="str">
        <f t="shared" si="48"/>
        <v/>
      </c>
      <c r="AA105" t="str">
        <f t="shared" si="42"/>
        <v/>
      </c>
      <c r="AB105" t="str">
        <f t="shared" si="43"/>
        <v/>
      </c>
      <c r="AF105" s="20"/>
      <c r="AJ105" t="str">
        <f t="shared" si="44"/>
        <v/>
      </c>
      <c r="AK105" t="str">
        <f t="shared" si="49"/>
        <v/>
      </c>
      <c r="AL105" t="str">
        <f t="shared" si="50"/>
        <v/>
      </c>
      <c r="AM105" t="str">
        <f t="shared" si="51"/>
        <v/>
      </c>
      <c r="AN105" t="str">
        <f t="shared" si="52"/>
        <v/>
      </c>
      <c r="AQ105" s="20" t="str">
        <f t="shared" si="33"/>
        <v/>
      </c>
      <c r="AR105" s="3" t="str">
        <f t="shared" si="34"/>
        <v/>
      </c>
      <c r="AS105" s="3" t="str">
        <f t="shared" si="35"/>
        <v/>
      </c>
      <c r="AT105" t="str">
        <f t="shared" si="36"/>
        <v/>
      </c>
    </row>
    <row r="106" spans="1:46" x14ac:dyDescent="0.3">
      <c r="A106" s="7"/>
      <c r="B106" s="14" t="str">
        <f t="shared" si="45"/>
        <v/>
      </c>
      <c r="C106" s="26"/>
      <c r="D106" s="81"/>
      <c r="E106" s="81"/>
      <c r="F106" s="81"/>
      <c r="G106" s="81"/>
      <c r="H106" s="13" t="str" cm="1">
        <f t="array" ref="H106">_xlfn.IFS(AND($E$12="Concentration",E106&lt;&gt;"",G106&lt;&gt;"",C106&lt;&gt;""),"X",AND(OR($E$12="Flow",$E$12="Volume"),D106&lt;&gt;"",F106&lt;&gt;"",C106&lt;&gt;""),"X",AND($E$12="Depth",$E$10&lt;&gt;"",$E$8&lt;&gt;"",D106&lt;&gt;"",F106&lt;&gt;"",C106&lt;&gt;""),"X",AND($E$12="Load",D106&lt;="",E106&lt;&gt;"",F106&lt;&gt;"",G106&lt;&gt;"",C106&lt;&gt;""),"X",AND($E$12="Yield",D106&lt;="",E106&lt;&gt;"",F106&lt;&gt;"",G106&lt;&gt;"",$E$8&lt;&gt;"",$E$10&lt;&gt;"",C106&lt;&gt;""),"X",C106="","",1&gt;0,"")</f>
        <v/>
      </c>
      <c r="I106" s="7"/>
      <c r="J106" s="121" t="str" cm="1">
        <f t="array" ref="J106">_xlfn.IFS(AND($E$12="Concentration",E106&lt;&gt;""),E106,AND(OR($E$12="Volume", $E$12="Flow"),D106&lt;&gt;""),D106,AND($E$12="Load",D106&lt;&gt;"",E106&lt;&gt;""),D106*E106*conv_fact,AND($E$12="Yield",D106&lt;&gt;"",E106&lt;&gt;"", $E$8&lt;&gt;""),D106*E106*conv_fact/$E$8,AND($E$12="Depth",D106&lt;&gt;"",$E$8&lt;&gt;""),D106*conv_fact/$E$8,OR(D106="",E106=""),"")</f>
        <v/>
      </c>
      <c r="K106" s="121" t="str" cm="1">
        <f t="array" ref="K106">_xlfn.IFS(AND($E$12="Concentration",G106&lt;&gt;""),G106,AND(OR($E$12="Volume", $E$12="Flow"),F106&lt;&gt;""),F106,AND($E$12="Load",F106&lt;&gt;"",G106&lt;&gt;""),F106*G106*conv_fact,AND($E$12="Yield",F106&lt;&gt;"",G106&lt;&gt;"", $E$10&lt;&gt;""),F106*G106*conv_fact/$E$10, AND($E$12="Depth",F106&lt;&gt;"",$E$10&lt;&gt;""),F106*conv_fact/$E$10,OR(F106="",G106=""),"")</f>
        <v/>
      </c>
      <c r="L106" s="118" t="e">
        <f t="shared" si="37"/>
        <v>#N/A</v>
      </c>
      <c r="M106" s="118" t="e">
        <f t="shared" si="38"/>
        <v>#N/A</v>
      </c>
      <c r="O106" s="3" t="str">
        <f t="shared" si="39"/>
        <v/>
      </c>
      <c r="P106" s="3" t="str">
        <f t="shared" si="46"/>
        <v/>
      </c>
      <c r="Q106" t="str">
        <f t="shared" si="53"/>
        <v/>
      </c>
      <c r="S106" s="20" t="str">
        <v/>
      </c>
      <c r="T106" s="20" t="str">
        <f t="shared" si="40"/>
        <v/>
      </c>
      <c r="U106" t="str">
        <f t="shared" si="47"/>
        <v/>
      </c>
      <c r="V106" s="3" t="str">
        <f t="shared" si="54"/>
        <v/>
      </c>
      <c r="W106" s="20" t="str">
        <v/>
      </c>
      <c r="X106" s="20" t="str">
        <f t="shared" si="41"/>
        <v/>
      </c>
      <c r="Y106" t="str">
        <f t="shared" si="48"/>
        <v/>
      </c>
      <c r="AA106" t="str">
        <f t="shared" si="42"/>
        <v/>
      </c>
      <c r="AB106" t="str">
        <f t="shared" si="43"/>
        <v/>
      </c>
      <c r="AJ106" t="str">
        <f t="shared" si="44"/>
        <v/>
      </c>
      <c r="AK106" t="str">
        <f t="shared" si="49"/>
        <v/>
      </c>
      <c r="AL106" t="str">
        <f t="shared" si="50"/>
        <v/>
      </c>
      <c r="AM106" t="str">
        <f t="shared" si="51"/>
        <v/>
      </c>
      <c r="AN106" t="str">
        <f t="shared" si="52"/>
        <v/>
      </c>
    </row>
    <row r="107" spans="1:46" x14ac:dyDescent="0.3">
      <c r="A107" s="7"/>
      <c r="B107" s="14" t="str">
        <f t="shared" si="45"/>
        <v/>
      </c>
      <c r="C107" s="26"/>
      <c r="D107" s="81"/>
      <c r="E107" s="81"/>
      <c r="F107" s="81"/>
      <c r="G107" s="81"/>
      <c r="H107" s="13" t="str" cm="1">
        <f t="array" ref="H107">_xlfn.IFS(AND($E$12="Concentration",E107&lt;&gt;"",G107&lt;&gt;"",C107&lt;&gt;""),"X",AND(OR($E$12="Flow",$E$12="Volume"),D107&lt;&gt;"",F107&lt;&gt;"",C107&lt;&gt;""),"X",AND($E$12="Depth",$E$10&lt;&gt;"",$E$8&lt;&gt;"",D107&lt;&gt;"",F107&lt;&gt;"",C107&lt;&gt;""),"X",AND($E$12="Load",D107&lt;="",E107&lt;&gt;"",F107&lt;&gt;"",G107&lt;&gt;"",C107&lt;&gt;""),"X",AND($E$12="Yield",D107&lt;="",E107&lt;&gt;"",F107&lt;&gt;"",G107&lt;&gt;"",$E$8&lt;&gt;"",$E$10&lt;&gt;"",C107&lt;&gt;""),"X",C107="","",1&gt;0,"")</f>
        <v/>
      </c>
      <c r="I107" s="7"/>
      <c r="J107" s="121" t="str" cm="1">
        <f t="array" ref="J107">_xlfn.IFS(AND($E$12="Concentration",E107&lt;&gt;""),E107,AND(OR($E$12="Volume", $E$12="Flow"),D107&lt;&gt;""),D107,AND($E$12="Load",D107&lt;&gt;"",E107&lt;&gt;""),D107*E107*conv_fact,AND($E$12="Yield",D107&lt;&gt;"",E107&lt;&gt;"", $E$8&lt;&gt;""),D107*E107*conv_fact/$E$8,AND($E$12="Depth",D107&lt;&gt;"",$E$8&lt;&gt;""),D107*conv_fact/$E$8,OR(D107="",E107=""),"")</f>
        <v/>
      </c>
      <c r="K107" s="121" t="str" cm="1">
        <f t="array" ref="K107">_xlfn.IFS(AND($E$12="Concentration",G107&lt;&gt;""),G107,AND(OR($E$12="Volume", $E$12="Flow"),F107&lt;&gt;""),F107,AND($E$12="Load",F107&lt;&gt;"",G107&lt;&gt;""),F107*G107*conv_fact,AND($E$12="Yield",F107&lt;&gt;"",G107&lt;&gt;"", $E$10&lt;&gt;""),F107*G107*conv_fact/$E$10, AND($E$12="Depth",F107&lt;&gt;"",$E$10&lt;&gt;""),F107*conv_fact/$E$10,OR(F107="",G107=""),"")</f>
        <v/>
      </c>
      <c r="L107" s="118" t="e">
        <f t="shared" si="37"/>
        <v>#N/A</v>
      </c>
      <c r="M107" s="118" t="e">
        <f t="shared" si="38"/>
        <v>#N/A</v>
      </c>
      <c r="O107" s="3" t="str">
        <f t="shared" si="39"/>
        <v/>
      </c>
      <c r="P107" s="3" t="str">
        <f t="shared" si="46"/>
        <v/>
      </c>
      <c r="Q107" t="str">
        <f t="shared" si="53"/>
        <v/>
      </c>
      <c r="S107" s="20" t="str">
        <v/>
      </c>
      <c r="T107" s="20" t="str">
        <f t="shared" si="40"/>
        <v/>
      </c>
      <c r="U107" t="str">
        <f t="shared" si="47"/>
        <v/>
      </c>
      <c r="V107" s="3" t="str">
        <f t="shared" si="54"/>
        <v/>
      </c>
      <c r="W107" s="20" t="str">
        <v/>
      </c>
      <c r="X107" s="20" t="str">
        <f t="shared" si="41"/>
        <v/>
      </c>
      <c r="Y107" t="str">
        <f t="shared" si="48"/>
        <v/>
      </c>
      <c r="AA107" t="str">
        <f t="shared" si="42"/>
        <v/>
      </c>
      <c r="AB107" t="str">
        <f t="shared" si="43"/>
        <v/>
      </c>
      <c r="AJ107" t="str">
        <f t="shared" si="44"/>
        <v/>
      </c>
      <c r="AK107" t="str">
        <f t="shared" si="49"/>
        <v/>
      </c>
      <c r="AL107" t="str">
        <f t="shared" si="50"/>
        <v/>
      </c>
      <c r="AM107" t="str">
        <f t="shared" si="51"/>
        <v/>
      </c>
      <c r="AN107" t="str">
        <f t="shared" si="52"/>
        <v/>
      </c>
    </row>
    <row r="108" spans="1:46" x14ac:dyDescent="0.3">
      <c r="A108" s="7"/>
      <c r="B108" s="14" t="str">
        <f t="shared" si="45"/>
        <v/>
      </c>
      <c r="C108" s="26"/>
      <c r="D108" s="81"/>
      <c r="E108" s="81"/>
      <c r="F108" s="81"/>
      <c r="G108" s="81"/>
      <c r="H108" s="13" t="str" cm="1">
        <f t="array" ref="H108">_xlfn.IFS(AND($E$12="Concentration",E108&lt;&gt;"",G108&lt;&gt;"",C108&lt;&gt;""),"X",AND(OR($E$12="Flow",$E$12="Volume"),D108&lt;&gt;"",F108&lt;&gt;"",C108&lt;&gt;""),"X",AND($E$12="Depth",$E$10&lt;&gt;"",$E$8&lt;&gt;"",D108&lt;&gt;"",F108&lt;&gt;"",C108&lt;&gt;""),"X",AND($E$12="Load",D108&lt;="",E108&lt;&gt;"",F108&lt;&gt;"",G108&lt;&gt;"",C108&lt;&gt;""),"X",AND($E$12="Yield",D108&lt;="",E108&lt;&gt;"",F108&lt;&gt;"",G108&lt;&gt;"",$E$8&lt;&gt;"",$E$10&lt;&gt;"",C108&lt;&gt;""),"X",C108="","",1&gt;0,"")</f>
        <v/>
      </c>
      <c r="I108" s="7"/>
      <c r="J108" s="121" t="str" cm="1">
        <f t="array" ref="J108">_xlfn.IFS(AND($E$12="Concentration",E108&lt;&gt;""),E108,AND(OR($E$12="Volume", $E$12="Flow"),D108&lt;&gt;""),D108,AND($E$12="Load",D108&lt;&gt;"",E108&lt;&gt;""),D108*E108*conv_fact,AND($E$12="Yield",D108&lt;&gt;"",E108&lt;&gt;"", $E$8&lt;&gt;""),D108*E108*conv_fact/$E$8,AND($E$12="Depth",D108&lt;&gt;"",$E$8&lt;&gt;""),D108*conv_fact/$E$8,OR(D108="",E108=""),"")</f>
        <v/>
      </c>
      <c r="K108" s="121" t="str" cm="1">
        <f t="array" ref="K108">_xlfn.IFS(AND($E$12="Concentration",G108&lt;&gt;""),G108,AND(OR($E$12="Volume", $E$12="Flow"),F108&lt;&gt;""),F108,AND($E$12="Load",F108&lt;&gt;"",G108&lt;&gt;""),F108*G108*conv_fact,AND($E$12="Yield",F108&lt;&gt;"",G108&lt;&gt;"", $E$10&lt;&gt;""),F108*G108*conv_fact/$E$10, AND($E$12="Depth",F108&lt;&gt;"",$E$10&lt;&gt;""),F108*conv_fact/$E$10,OR(F108="",G108=""),"")</f>
        <v/>
      </c>
      <c r="L108" s="118" t="e">
        <f t="shared" si="37"/>
        <v>#N/A</v>
      </c>
      <c r="M108" s="118" t="e">
        <f t="shared" si="38"/>
        <v>#N/A</v>
      </c>
      <c r="O108" s="3" t="str">
        <f t="shared" si="39"/>
        <v/>
      </c>
      <c r="P108" s="3" t="str">
        <f t="shared" si="46"/>
        <v/>
      </c>
      <c r="Q108" t="str">
        <f t="shared" si="53"/>
        <v/>
      </c>
      <c r="S108" s="20" t="str">
        <v/>
      </c>
      <c r="T108" s="20" t="str">
        <f t="shared" si="40"/>
        <v/>
      </c>
      <c r="U108" t="str">
        <f t="shared" si="47"/>
        <v/>
      </c>
      <c r="V108" s="3" t="str">
        <f t="shared" si="54"/>
        <v/>
      </c>
      <c r="W108" s="20" t="str">
        <v/>
      </c>
      <c r="X108" s="20" t="str">
        <f t="shared" si="41"/>
        <v/>
      </c>
      <c r="Y108" t="str">
        <f t="shared" si="48"/>
        <v/>
      </c>
      <c r="AA108" t="str">
        <f t="shared" si="42"/>
        <v/>
      </c>
      <c r="AB108" t="str">
        <f t="shared" si="43"/>
        <v/>
      </c>
      <c r="AJ108" t="str">
        <f t="shared" si="44"/>
        <v/>
      </c>
      <c r="AK108" t="str">
        <f t="shared" si="49"/>
        <v/>
      </c>
      <c r="AL108" t="str">
        <f t="shared" si="50"/>
        <v/>
      </c>
      <c r="AM108" t="str">
        <f t="shared" si="51"/>
        <v/>
      </c>
      <c r="AN108" t="str">
        <f t="shared" si="52"/>
        <v/>
      </c>
    </row>
    <row r="109" spans="1:46" x14ac:dyDescent="0.3">
      <c r="A109" s="7"/>
      <c r="B109" s="14" t="str">
        <f t="shared" si="45"/>
        <v/>
      </c>
      <c r="C109" s="26"/>
      <c r="D109" s="81"/>
      <c r="E109" s="81"/>
      <c r="F109" s="81"/>
      <c r="G109" s="81"/>
      <c r="H109" s="13" t="str" cm="1">
        <f t="array" ref="H109">_xlfn.IFS(AND($E$12="Concentration",E109&lt;&gt;"",G109&lt;&gt;"",C109&lt;&gt;""),"X",AND(OR($E$12="Flow",$E$12="Volume"),D109&lt;&gt;"",F109&lt;&gt;"",C109&lt;&gt;""),"X",AND($E$12="Depth",$E$10&lt;&gt;"",$E$8&lt;&gt;"",D109&lt;&gt;"",F109&lt;&gt;"",C109&lt;&gt;""),"X",AND($E$12="Load",D109&lt;="",E109&lt;&gt;"",F109&lt;&gt;"",G109&lt;&gt;"",C109&lt;&gt;""),"X",AND($E$12="Yield",D109&lt;="",E109&lt;&gt;"",F109&lt;&gt;"",G109&lt;&gt;"",$E$8&lt;&gt;"",$E$10&lt;&gt;"",C109&lt;&gt;""),"X",C109="","",1&gt;0,"")</f>
        <v/>
      </c>
      <c r="I109" s="7"/>
      <c r="J109" s="121" t="str" cm="1">
        <f t="array" ref="J109">_xlfn.IFS(AND($E$12="Concentration",E109&lt;&gt;""),E109,AND(OR($E$12="Volume", $E$12="Flow"),D109&lt;&gt;""),D109,AND($E$12="Load",D109&lt;&gt;"",E109&lt;&gt;""),D109*E109*conv_fact,AND($E$12="Yield",D109&lt;&gt;"",E109&lt;&gt;"", $E$8&lt;&gt;""),D109*E109*conv_fact/$E$8,AND($E$12="Depth",D109&lt;&gt;"",$E$8&lt;&gt;""),D109*conv_fact/$E$8,OR(D109="",E109=""),"")</f>
        <v/>
      </c>
      <c r="K109" s="121" t="str" cm="1">
        <f t="array" ref="K109">_xlfn.IFS(AND($E$12="Concentration",G109&lt;&gt;""),G109,AND(OR($E$12="Volume", $E$12="Flow"),F109&lt;&gt;""),F109,AND($E$12="Load",F109&lt;&gt;"",G109&lt;&gt;""),F109*G109*conv_fact,AND($E$12="Yield",F109&lt;&gt;"",G109&lt;&gt;"", $E$10&lt;&gt;""),F109*G109*conv_fact/$E$10, AND($E$12="Depth",F109&lt;&gt;"",$E$10&lt;&gt;""),F109*conv_fact/$E$10,OR(F109="",G109=""),"")</f>
        <v/>
      </c>
      <c r="L109" s="118" t="e">
        <f t="shared" si="37"/>
        <v>#N/A</v>
      </c>
      <c r="M109" s="118" t="e">
        <f t="shared" si="38"/>
        <v>#N/A</v>
      </c>
      <c r="O109" s="3" t="str">
        <f t="shared" si="39"/>
        <v/>
      </c>
      <c r="P109" s="3" t="str">
        <f t="shared" si="46"/>
        <v/>
      </c>
      <c r="Q109" t="str">
        <f t="shared" si="53"/>
        <v/>
      </c>
      <c r="S109" s="20" t="str">
        <v/>
      </c>
      <c r="T109" s="20" t="str">
        <f t="shared" si="40"/>
        <v/>
      </c>
      <c r="U109" t="str">
        <f t="shared" si="47"/>
        <v/>
      </c>
      <c r="V109" s="3" t="str">
        <f t="shared" si="54"/>
        <v/>
      </c>
      <c r="W109" s="20" t="str">
        <v/>
      </c>
      <c r="X109" s="20" t="str">
        <f t="shared" si="41"/>
        <v/>
      </c>
      <c r="Y109" t="str">
        <f t="shared" si="48"/>
        <v/>
      </c>
      <c r="AA109" t="str">
        <f t="shared" si="42"/>
        <v/>
      </c>
      <c r="AB109" t="str">
        <f t="shared" si="43"/>
        <v/>
      </c>
      <c r="AJ109" t="str">
        <f t="shared" si="44"/>
        <v/>
      </c>
      <c r="AK109" t="str">
        <f t="shared" si="49"/>
        <v/>
      </c>
      <c r="AL109" t="str">
        <f t="shared" si="50"/>
        <v/>
      </c>
      <c r="AM109" t="str">
        <f t="shared" si="51"/>
        <v/>
      </c>
      <c r="AN109" t="str">
        <f t="shared" si="52"/>
        <v/>
      </c>
    </row>
    <row r="110" spans="1:46" x14ac:dyDescent="0.3">
      <c r="A110" s="7"/>
      <c r="B110" s="14" t="str">
        <f t="shared" si="45"/>
        <v/>
      </c>
      <c r="C110" s="26"/>
      <c r="D110" s="81"/>
      <c r="E110" s="81"/>
      <c r="F110" s="81"/>
      <c r="G110" s="81"/>
      <c r="H110" s="13" t="str" cm="1">
        <f t="array" ref="H110">_xlfn.IFS(AND($E$12="Concentration",E110&lt;&gt;"",G110&lt;&gt;"",C110&lt;&gt;""),"X",AND(OR($E$12="Flow",$E$12="Volume"),D110&lt;&gt;"",F110&lt;&gt;"",C110&lt;&gt;""),"X",AND($E$12="Depth",$E$10&lt;&gt;"",$E$8&lt;&gt;"",D110&lt;&gt;"",F110&lt;&gt;"",C110&lt;&gt;""),"X",AND($E$12="Load",D110&lt;="",E110&lt;&gt;"",F110&lt;&gt;"",G110&lt;&gt;"",C110&lt;&gt;""),"X",AND($E$12="Yield",D110&lt;="",E110&lt;&gt;"",F110&lt;&gt;"",G110&lt;&gt;"",$E$8&lt;&gt;"",$E$10&lt;&gt;"",C110&lt;&gt;""),"X",C110="","",1&gt;0,"")</f>
        <v/>
      </c>
      <c r="I110" s="7"/>
      <c r="J110" s="121" t="str" cm="1">
        <f t="array" ref="J110">_xlfn.IFS(AND($E$12="Concentration",E110&lt;&gt;""),E110,AND(OR($E$12="Volume", $E$12="Flow"),D110&lt;&gt;""),D110,AND($E$12="Load",D110&lt;&gt;"",E110&lt;&gt;""),D110*E110*conv_fact,AND($E$12="Yield",D110&lt;&gt;"",E110&lt;&gt;"", $E$8&lt;&gt;""),D110*E110*conv_fact/$E$8,AND($E$12="Depth",D110&lt;&gt;"",$E$8&lt;&gt;""),D110*conv_fact/$E$8,OR(D110="",E110=""),"")</f>
        <v/>
      </c>
      <c r="K110" s="121" t="str" cm="1">
        <f t="array" ref="K110">_xlfn.IFS(AND($E$12="Concentration",G110&lt;&gt;""),G110,AND(OR($E$12="Volume", $E$12="Flow"),F110&lt;&gt;""),F110,AND($E$12="Load",F110&lt;&gt;"",G110&lt;&gt;""),F110*G110*conv_fact,AND($E$12="Yield",F110&lt;&gt;"",G110&lt;&gt;"", $E$10&lt;&gt;""),F110*G110*conv_fact/$E$10, AND($E$12="Depth",F110&lt;&gt;"",$E$10&lt;&gt;""),F110*conv_fact/$E$10,OR(F110="",G110=""),"")</f>
        <v/>
      </c>
      <c r="L110" s="118" t="e">
        <f t="shared" si="37"/>
        <v>#N/A</v>
      </c>
      <c r="M110" s="118" t="e">
        <f t="shared" si="38"/>
        <v>#N/A</v>
      </c>
      <c r="O110" s="3" t="str">
        <f t="shared" si="39"/>
        <v/>
      </c>
      <c r="P110" s="3" t="str">
        <f t="shared" si="46"/>
        <v/>
      </c>
      <c r="Q110" t="str">
        <f t="shared" si="53"/>
        <v/>
      </c>
      <c r="S110" s="20" t="str">
        <v/>
      </c>
      <c r="T110" s="20" t="str">
        <f t="shared" si="40"/>
        <v/>
      </c>
      <c r="U110" t="str">
        <f t="shared" si="47"/>
        <v/>
      </c>
      <c r="V110" s="3" t="str">
        <f t="shared" si="54"/>
        <v/>
      </c>
      <c r="W110" s="20" t="str">
        <v/>
      </c>
      <c r="X110" s="20" t="str">
        <f t="shared" si="41"/>
        <v/>
      </c>
      <c r="Y110" t="str">
        <f t="shared" si="48"/>
        <v/>
      </c>
      <c r="AA110" t="str">
        <f t="shared" si="42"/>
        <v/>
      </c>
      <c r="AB110" t="str">
        <f t="shared" si="43"/>
        <v/>
      </c>
      <c r="AJ110" t="str">
        <f t="shared" si="44"/>
        <v/>
      </c>
      <c r="AK110" t="str">
        <f t="shared" si="49"/>
        <v/>
      </c>
      <c r="AL110" t="str">
        <f t="shared" si="50"/>
        <v/>
      </c>
      <c r="AM110" t="str">
        <f t="shared" si="51"/>
        <v/>
      </c>
      <c r="AN110" t="str">
        <f t="shared" si="52"/>
        <v/>
      </c>
    </row>
    <row r="111" spans="1:46" x14ac:dyDescent="0.3">
      <c r="A111" s="7"/>
      <c r="B111" s="14" t="str">
        <f t="shared" si="45"/>
        <v/>
      </c>
      <c r="C111" s="26"/>
      <c r="D111" s="81"/>
      <c r="E111" s="81"/>
      <c r="F111" s="81"/>
      <c r="G111" s="81"/>
      <c r="H111" s="13" t="str" cm="1">
        <f t="array" ref="H111">_xlfn.IFS(AND($E$12="Concentration",E111&lt;&gt;"",G111&lt;&gt;"",C111&lt;&gt;""),"X",AND(OR($E$12="Flow",$E$12="Volume"),D111&lt;&gt;"",F111&lt;&gt;"",C111&lt;&gt;""),"X",AND($E$12="Depth",$E$10&lt;&gt;"",$E$8&lt;&gt;"",D111&lt;&gt;"",F111&lt;&gt;"",C111&lt;&gt;""),"X",AND($E$12="Load",D111&lt;="",E111&lt;&gt;"",F111&lt;&gt;"",G111&lt;&gt;"",C111&lt;&gt;""),"X",AND($E$12="Yield",D111&lt;="",E111&lt;&gt;"",F111&lt;&gt;"",G111&lt;&gt;"",$E$8&lt;&gt;"",$E$10&lt;&gt;"",C111&lt;&gt;""),"X",C111="","",1&gt;0,"")</f>
        <v/>
      </c>
      <c r="I111" s="7"/>
      <c r="J111" s="121" t="str" cm="1">
        <f t="array" ref="J111">_xlfn.IFS(AND($E$12="Concentration",E111&lt;&gt;""),E111,AND(OR($E$12="Volume", $E$12="Flow"),D111&lt;&gt;""),D111,AND($E$12="Load",D111&lt;&gt;"",E111&lt;&gt;""),D111*E111*conv_fact,AND($E$12="Yield",D111&lt;&gt;"",E111&lt;&gt;"", $E$8&lt;&gt;""),D111*E111*conv_fact/$E$8,AND($E$12="Depth",D111&lt;&gt;"",$E$8&lt;&gt;""),D111*conv_fact/$E$8,OR(D111="",E111=""),"")</f>
        <v/>
      </c>
      <c r="K111" s="121" t="str" cm="1">
        <f t="array" ref="K111">_xlfn.IFS(AND($E$12="Concentration",G111&lt;&gt;""),G111,AND(OR($E$12="Volume", $E$12="Flow"),F111&lt;&gt;""),F111,AND($E$12="Load",F111&lt;&gt;"",G111&lt;&gt;""),F111*G111*conv_fact,AND($E$12="Yield",F111&lt;&gt;"",G111&lt;&gt;"", $E$10&lt;&gt;""),F111*G111*conv_fact/$E$10, AND($E$12="Depth",F111&lt;&gt;"",$E$10&lt;&gt;""),F111*conv_fact/$E$10,OR(F111="",G111=""),"")</f>
        <v/>
      </c>
      <c r="L111" s="118" t="e">
        <f t="shared" si="37"/>
        <v>#N/A</v>
      </c>
      <c r="M111" s="118" t="e">
        <f t="shared" si="38"/>
        <v>#N/A</v>
      </c>
      <c r="O111" s="3" t="str">
        <f t="shared" si="39"/>
        <v/>
      </c>
      <c r="P111" s="3" t="str">
        <f t="shared" si="46"/>
        <v/>
      </c>
      <c r="Q111" t="str">
        <f t="shared" si="53"/>
        <v/>
      </c>
      <c r="S111" s="20" t="str">
        <v/>
      </c>
      <c r="T111" s="20" t="str">
        <f t="shared" si="40"/>
        <v/>
      </c>
      <c r="U111" t="str">
        <f t="shared" si="47"/>
        <v/>
      </c>
      <c r="V111" s="3" t="str">
        <f t="shared" si="54"/>
        <v/>
      </c>
      <c r="W111" s="20" t="str">
        <v/>
      </c>
      <c r="X111" s="20" t="str">
        <f t="shared" si="41"/>
        <v/>
      </c>
      <c r="Y111" t="str">
        <f t="shared" si="48"/>
        <v/>
      </c>
      <c r="AA111" t="str">
        <f t="shared" si="42"/>
        <v/>
      </c>
      <c r="AB111" t="str">
        <f t="shared" si="43"/>
        <v/>
      </c>
      <c r="AJ111" t="str">
        <f t="shared" si="44"/>
        <v/>
      </c>
      <c r="AK111" t="str">
        <f t="shared" si="49"/>
        <v/>
      </c>
      <c r="AL111" t="str">
        <f t="shared" si="50"/>
        <v/>
      </c>
      <c r="AM111" t="str">
        <f t="shared" si="51"/>
        <v/>
      </c>
      <c r="AN111" t="str">
        <f t="shared" si="52"/>
        <v/>
      </c>
    </row>
    <row r="112" spans="1:46" x14ac:dyDescent="0.3">
      <c r="A112" s="7"/>
      <c r="B112" s="14" t="str">
        <f t="shared" si="45"/>
        <v/>
      </c>
      <c r="C112" s="26"/>
      <c r="D112" s="81"/>
      <c r="E112" s="81"/>
      <c r="F112" s="81"/>
      <c r="G112" s="81"/>
      <c r="H112" s="13" t="str" cm="1">
        <f t="array" ref="H112">_xlfn.IFS(AND($E$12="Concentration",E112&lt;&gt;"",G112&lt;&gt;"",C112&lt;&gt;""),"X",AND(OR($E$12="Flow",$E$12="Volume"),D112&lt;&gt;"",F112&lt;&gt;"",C112&lt;&gt;""),"X",AND($E$12="Depth",$E$10&lt;&gt;"",$E$8&lt;&gt;"",D112&lt;&gt;"",F112&lt;&gt;"",C112&lt;&gt;""),"X",AND($E$12="Load",D112&lt;="",E112&lt;&gt;"",F112&lt;&gt;"",G112&lt;&gt;"",C112&lt;&gt;""),"X",AND($E$12="Yield",D112&lt;="",E112&lt;&gt;"",F112&lt;&gt;"",G112&lt;&gt;"",$E$8&lt;&gt;"",$E$10&lt;&gt;"",C112&lt;&gt;""),"X",C112="","",1&gt;0,"")</f>
        <v/>
      </c>
      <c r="I112" s="7"/>
      <c r="J112" s="121" t="str" cm="1">
        <f t="array" ref="J112">_xlfn.IFS(AND($E$12="Concentration",E112&lt;&gt;""),E112,AND(OR($E$12="Volume", $E$12="Flow"),D112&lt;&gt;""),D112,AND($E$12="Load",D112&lt;&gt;"",E112&lt;&gt;""),D112*E112*conv_fact,AND($E$12="Yield",D112&lt;&gt;"",E112&lt;&gt;"", $E$8&lt;&gt;""),D112*E112*conv_fact/$E$8,AND($E$12="Depth",D112&lt;&gt;"",$E$8&lt;&gt;""),D112*conv_fact/$E$8,OR(D112="",E112=""),"")</f>
        <v/>
      </c>
      <c r="K112" s="121" t="str" cm="1">
        <f t="array" ref="K112">_xlfn.IFS(AND($E$12="Concentration",G112&lt;&gt;""),G112,AND(OR($E$12="Volume", $E$12="Flow"),F112&lt;&gt;""),F112,AND($E$12="Load",F112&lt;&gt;"",G112&lt;&gt;""),F112*G112*conv_fact,AND($E$12="Yield",F112&lt;&gt;"",G112&lt;&gt;"", $E$10&lt;&gt;""),F112*G112*conv_fact/$E$10, AND($E$12="Depth",F112&lt;&gt;"",$E$10&lt;&gt;""),F112*conv_fact/$E$10,OR(F112="",G112=""),"")</f>
        <v/>
      </c>
      <c r="L112" s="118" t="e">
        <f t="shared" si="37"/>
        <v>#N/A</v>
      </c>
      <c r="M112" s="118" t="e">
        <f t="shared" si="38"/>
        <v>#N/A</v>
      </c>
      <c r="O112" s="3" t="str">
        <f t="shared" si="39"/>
        <v/>
      </c>
      <c r="P112" s="3" t="str">
        <f t="shared" si="46"/>
        <v/>
      </c>
      <c r="Q112" t="str">
        <f t="shared" si="53"/>
        <v/>
      </c>
      <c r="S112" s="20" t="str">
        <v/>
      </c>
      <c r="T112" s="20" t="str">
        <f t="shared" si="40"/>
        <v/>
      </c>
      <c r="U112" t="str">
        <f t="shared" si="47"/>
        <v/>
      </c>
      <c r="V112" s="3" t="str">
        <f t="shared" si="54"/>
        <v/>
      </c>
      <c r="W112" s="20" t="str">
        <v/>
      </c>
      <c r="X112" s="20" t="str">
        <f t="shared" si="41"/>
        <v/>
      </c>
      <c r="Y112" t="str">
        <f t="shared" si="48"/>
        <v/>
      </c>
      <c r="AA112" t="str">
        <f t="shared" si="42"/>
        <v/>
      </c>
      <c r="AB112" t="str">
        <f t="shared" si="43"/>
        <v/>
      </c>
      <c r="AJ112" t="str">
        <f t="shared" si="44"/>
        <v/>
      </c>
      <c r="AK112" t="str">
        <f t="shared" si="49"/>
        <v/>
      </c>
      <c r="AL112" t="str">
        <f t="shared" si="50"/>
        <v/>
      </c>
      <c r="AM112" t="str">
        <f t="shared" si="51"/>
        <v/>
      </c>
      <c r="AN112" t="str">
        <f t="shared" si="52"/>
        <v/>
      </c>
    </row>
    <row r="113" spans="1:40" x14ac:dyDescent="0.3">
      <c r="A113" s="7"/>
      <c r="B113" s="14" t="str">
        <f t="shared" si="45"/>
        <v/>
      </c>
      <c r="C113" s="26"/>
      <c r="D113" s="81"/>
      <c r="E113" s="81"/>
      <c r="F113" s="81"/>
      <c r="G113" s="81"/>
      <c r="H113" s="13" t="str" cm="1">
        <f t="array" ref="H113">_xlfn.IFS(AND($E$12="Concentration",E113&lt;&gt;"",G113&lt;&gt;"",C113&lt;&gt;""),"X",AND(OR($E$12="Flow",$E$12="Volume"),D113&lt;&gt;"",F113&lt;&gt;"",C113&lt;&gt;""),"X",AND($E$12="Depth",$E$10&lt;&gt;"",$E$8&lt;&gt;"",D113&lt;&gt;"",F113&lt;&gt;"",C113&lt;&gt;""),"X",AND($E$12="Load",D113&lt;="",E113&lt;&gt;"",F113&lt;&gt;"",G113&lt;&gt;"",C113&lt;&gt;""),"X",AND($E$12="Yield",D113&lt;="",E113&lt;&gt;"",F113&lt;&gt;"",G113&lt;&gt;"",$E$8&lt;&gt;"",$E$10&lt;&gt;"",C113&lt;&gt;""),"X",C113="","",1&gt;0,"")</f>
        <v/>
      </c>
      <c r="I113" s="7"/>
      <c r="J113" s="121" t="str" cm="1">
        <f t="array" ref="J113">_xlfn.IFS(AND($E$12="Concentration",E113&lt;&gt;""),E113,AND(OR($E$12="Volume", $E$12="Flow"),D113&lt;&gt;""),D113,AND($E$12="Load",D113&lt;&gt;"",E113&lt;&gt;""),D113*E113*conv_fact,AND($E$12="Yield",D113&lt;&gt;"",E113&lt;&gt;"", $E$8&lt;&gt;""),D113*E113*conv_fact/$E$8,AND($E$12="Depth",D113&lt;&gt;"",$E$8&lt;&gt;""),D113*conv_fact/$E$8,OR(D113="",E113=""),"")</f>
        <v/>
      </c>
      <c r="K113" s="121" t="str" cm="1">
        <f t="array" ref="K113">_xlfn.IFS(AND($E$12="Concentration",G113&lt;&gt;""),G113,AND(OR($E$12="Volume", $E$12="Flow"),F113&lt;&gt;""),F113,AND($E$12="Load",F113&lt;&gt;"",G113&lt;&gt;""),F113*G113*conv_fact,AND($E$12="Yield",F113&lt;&gt;"",G113&lt;&gt;"", $E$10&lt;&gt;""),F113*G113*conv_fact/$E$10, AND($E$12="Depth",F113&lt;&gt;"",$E$10&lt;&gt;""),F113*conv_fact/$E$10,OR(F113="",G113=""),"")</f>
        <v/>
      </c>
      <c r="L113" s="118" t="e">
        <f t="shared" si="37"/>
        <v>#N/A</v>
      </c>
      <c r="M113" s="118" t="e">
        <f t="shared" si="38"/>
        <v>#N/A</v>
      </c>
      <c r="O113" s="3" t="str">
        <f t="shared" si="39"/>
        <v/>
      </c>
      <c r="P113" s="3" t="str">
        <f t="shared" si="46"/>
        <v/>
      </c>
      <c r="Q113" t="str">
        <f t="shared" si="53"/>
        <v/>
      </c>
      <c r="S113" s="20" t="str">
        <v/>
      </c>
      <c r="T113" s="20" t="str">
        <f t="shared" si="40"/>
        <v/>
      </c>
      <c r="U113" t="str">
        <f t="shared" si="47"/>
        <v/>
      </c>
      <c r="V113" s="3" t="str">
        <f t="shared" si="54"/>
        <v/>
      </c>
      <c r="W113" s="20" t="str">
        <v/>
      </c>
      <c r="X113" s="20" t="str">
        <f t="shared" si="41"/>
        <v/>
      </c>
      <c r="Y113" t="str">
        <f t="shared" si="48"/>
        <v/>
      </c>
      <c r="AA113" t="str">
        <f t="shared" si="42"/>
        <v/>
      </c>
      <c r="AB113" t="str">
        <f t="shared" si="43"/>
        <v/>
      </c>
      <c r="AJ113" t="str">
        <f t="shared" si="44"/>
        <v/>
      </c>
      <c r="AK113" t="str">
        <f t="shared" si="49"/>
        <v/>
      </c>
      <c r="AL113" t="str">
        <f t="shared" si="50"/>
        <v/>
      </c>
      <c r="AM113" t="str">
        <f t="shared" si="51"/>
        <v/>
      </c>
      <c r="AN113" t="str">
        <f t="shared" si="52"/>
        <v/>
      </c>
    </row>
    <row r="114" spans="1:40" x14ac:dyDescent="0.3">
      <c r="A114" s="7"/>
      <c r="B114" s="14" t="str">
        <f t="shared" si="45"/>
        <v/>
      </c>
      <c r="C114" s="26"/>
      <c r="D114" s="81"/>
      <c r="E114" s="81"/>
      <c r="F114" s="81"/>
      <c r="G114" s="81"/>
      <c r="H114" s="13" t="str" cm="1">
        <f t="array" ref="H114">_xlfn.IFS(AND($E$12="Concentration",E114&lt;&gt;"",G114&lt;&gt;"",C114&lt;&gt;""),"X",AND(OR($E$12="Flow",$E$12="Volume"),D114&lt;&gt;"",F114&lt;&gt;"",C114&lt;&gt;""),"X",AND($E$12="Depth",$E$10&lt;&gt;"",$E$8&lt;&gt;"",D114&lt;&gt;"",F114&lt;&gt;"",C114&lt;&gt;""),"X",AND($E$12="Load",D114&lt;="",E114&lt;&gt;"",F114&lt;&gt;"",G114&lt;&gt;"",C114&lt;&gt;""),"X",AND($E$12="Yield",D114&lt;="",E114&lt;&gt;"",F114&lt;&gt;"",G114&lt;&gt;"",$E$8&lt;&gt;"",$E$10&lt;&gt;"",C114&lt;&gt;""),"X",C114="","",1&gt;0,"")</f>
        <v/>
      </c>
      <c r="I114" s="7"/>
      <c r="J114" s="121" t="str" cm="1">
        <f t="array" ref="J114">_xlfn.IFS(AND($E$12="Concentration",E114&lt;&gt;""),E114,AND(OR($E$12="Volume", $E$12="Flow"),D114&lt;&gt;""),D114,AND($E$12="Load",D114&lt;&gt;"",E114&lt;&gt;""),D114*E114*conv_fact,AND($E$12="Yield",D114&lt;&gt;"",E114&lt;&gt;"", $E$8&lt;&gt;""),D114*E114*conv_fact/$E$8,AND($E$12="Depth",D114&lt;&gt;"",$E$8&lt;&gt;""),D114*conv_fact/$E$8,OR(D114="",E114=""),"")</f>
        <v/>
      </c>
      <c r="K114" s="121" t="str" cm="1">
        <f t="array" ref="K114">_xlfn.IFS(AND($E$12="Concentration",G114&lt;&gt;""),G114,AND(OR($E$12="Volume", $E$12="Flow"),F114&lt;&gt;""),F114,AND($E$12="Load",F114&lt;&gt;"",G114&lt;&gt;""),F114*G114*conv_fact,AND($E$12="Yield",F114&lt;&gt;"",G114&lt;&gt;"", $E$10&lt;&gt;""),F114*G114*conv_fact/$E$10, AND($E$12="Depth",F114&lt;&gt;"",$E$10&lt;&gt;""),F114*conv_fact/$E$10,OR(F114="",G114=""),"")</f>
        <v/>
      </c>
      <c r="L114" s="118" t="e">
        <f t="shared" si="37"/>
        <v>#N/A</v>
      </c>
      <c r="M114" s="118" t="e">
        <f t="shared" si="38"/>
        <v>#N/A</v>
      </c>
      <c r="O114" s="3" t="str">
        <f t="shared" si="39"/>
        <v/>
      </c>
      <c r="P114" s="3" t="str">
        <f t="shared" si="46"/>
        <v/>
      </c>
      <c r="Q114" t="str">
        <f t="shared" si="53"/>
        <v/>
      </c>
      <c r="S114" s="20" t="str">
        <v/>
      </c>
      <c r="T114" s="20" t="str">
        <f t="shared" si="40"/>
        <v/>
      </c>
      <c r="U114" t="str">
        <f t="shared" si="47"/>
        <v/>
      </c>
      <c r="V114" s="3" t="str">
        <f t="shared" si="54"/>
        <v/>
      </c>
      <c r="W114" s="20" t="str">
        <v/>
      </c>
      <c r="X114" s="20" t="str">
        <f t="shared" si="41"/>
        <v/>
      </c>
      <c r="Y114" t="str">
        <f t="shared" si="48"/>
        <v/>
      </c>
      <c r="AA114" t="str">
        <f t="shared" si="42"/>
        <v/>
      </c>
      <c r="AB114" t="str">
        <f t="shared" si="43"/>
        <v/>
      </c>
      <c r="AJ114" t="str">
        <f t="shared" si="44"/>
        <v/>
      </c>
      <c r="AK114" t="str">
        <f t="shared" si="49"/>
        <v/>
      </c>
      <c r="AL114" t="str">
        <f t="shared" si="50"/>
        <v/>
      </c>
      <c r="AM114" t="str">
        <f t="shared" si="51"/>
        <v/>
      </c>
      <c r="AN114" t="str">
        <f t="shared" si="52"/>
        <v/>
      </c>
    </row>
    <row r="115" spans="1:40" x14ac:dyDescent="0.3">
      <c r="A115" s="7"/>
      <c r="B115" s="14" t="str">
        <f t="shared" si="45"/>
        <v/>
      </c>
      <c r="C115" s="26"/>
      <c r="D115" s="81"/>
      <c r="E115" s="81"/>
      <c r="F115" s="81"/>
      <c r="G115" s="81"/>
      <c r="H115" s="13" t="str" cm="1">
        <f t="array" ref="H115">_xlfn.IFS(AND($E$12="Concentration",E115&lt;&gt;"",G115&lt;&gt;"",C115&lt;&gt;""),"X",AND(OR($E$12="Flow",$E$12="Volume"),D115&lt;&gt;"",F115&lt;&gt;"",C115&lt;&gt;""),"X",AND($E$12="Depth",$E$10&lt;&gt;"",$E$8&lt;&gt;"",D115&lt;&gt;"",F115&lt;&gt;"",C115&lt;&gt;""),"X",AND($E$12="Load",D115&lt;="",E115&lt;&gt;"",F115&lt;&gt;"",G115&lt;&gt;"",C115&lt;&gt;""),"X",AND($E$12="Yield",D115&lt;="",E115&lt;&gt;"",F115&lt;&gt;"",G115&lt;&gt;"",$E$8&lt;&gt;"",$E$10&lt;&gt;"",C115&lt;&gt;""),"X",C115="","",1&gt;0,"")</f>
        <v/>
      </c>
      <c r="I115" s="7"/>
      <c r="J115" s="121" t="str" cm="1">
        <f t="array" ref="J115">_xlfn.IFS(AND($E$12="Concentration",E115&lt;&gt;""),E115,AND(OR($E$12="Volume", $E$12="Flow"),D115&lt;&gt;""),D115,AND($E$12="Load",D115&lt;&gt;"",E115&lt;&gt;""),D115*E115*conv_fact,AND($E$12="Yield",D115&lt;&gt;"",E115&lt;&gt;"", $E$8&lt;&gt;""),D115*E115*conv_fact/$E$8,AND($E$12="Depth",D115&lt;&gt;"",$E$8&lt;&gt;""),D115*conv_fact/$E$8,OR(D115="",E115=""),"")</f>
        <v/>
      </c>
      <c r="K115" s="121" t="str" cm="1">
        <f t="array" ref="K115">_xlfn.IFS(AND($E$12="Concentration",G115&lt;&gt;""),G115,AND(OR($E$12="Volume", $E$12="Flow"),F115&lt;&gt;""),F115,AND($E$12="Load",F115&lt;&gt;"",G115&lt;&gt;""),F115*G115*conv_fact,AND($E$12="Yield",F115&lt;&gt;"",G115&lt;&gt;"", $E$10&lt;&gt;""),F115*G115*conv_fact/$E$10, AND($E$12="Depth",F115&lt;&gt;"",$E$10&lt;&gt;""),F115*conv_fact/$E$10,OR(F115="",G115=""),"")</f>
        <v/>
      </c>
      <c r="L115" s="118" t="e">
        <f t="shared" si="37"/>
        <v>#N/A</v>
      </c>
      <c r="M115" s="118" t="e">
        <f t="shared" si="38"/>
        <v>#N/A</v>
      </c>
      <c r="O115" s="3" t="str">
        <f t="shared" si="39"/>
        <v/>
      </c>
      <c r="P115" s="3" t="str">
        <f t="shared" si="46"/>
        <v/>
      </c>
      <c r="Q115" t="str">
        <f t="shared" si="53"/>
        <v/>
      </c>
      <c r="S115" s="20" t="str">
        <v/>
      </c>
      <c r="T115" s="20" t="str">
        <f t="shared" si="40"/>
        <v/>
      </c>
      <c r="U115" t="str">
        <f t="shared" si="47"/>
        <v/>
      </c>
      <c r="V115" s="3" t="str">
        <f t="shared" si="54"/>
        <v/>
      </c>
      <c r="W115" s="20" t="str">
        <v/>
      </c>
      <c r="X115" s="20" t="str">
        <f t="shared" si="41"/>
        <v/>
      </c>
      <c r="Y115" t="str">
        <f t="shared" si="48"/>
        <v/>
      </c>
      <c r="AA115" t="str">
        <f t="shared" si="42"/>
        <v/>
      </c>
      <c r="AB115" t="str">
        <f t="shared" si="43"/>
        <v/>
      </c>
      <c r="AJ115" t="str">
        <f t="shared" si="44"/>
        <v/>
      </c>
      <c r="AK115" t="str">
        <f t="shared" si="49"/>
        <v/>
      </c>
      <c r="AL115" t="str">
        <f t="shared" si="50"/>
        <v/>
      </c>
      <c r="AM115" t="str">
        <f t="shared" si="51"/>
        <v/>
      </c>
      <c r="AN115" t="str">
        <f t="shared" si="52"/>
        <v/>
      </c>
    </row>
    <row r="116" spans="1:40" x14ac:dyDescent="0.3">
      <c r="A116" s="7"/>
      <c r="B116" s="14" t="str">
        <f t="shared" si="45"/>
        <v/>
      </c>
      <c r="C116" s="26"/>
      <c r="D116" s="81"/>
      <c r="E116" s="81"/>
      <c r="F116" s="81"/>
      <c r="G116" s="81"/>
      <c r="H116" s="13" t="str" cm="1">
        <f t="array" ref="H116">_xlfn.IFS(AND($E$12="Concentration",E116&lt;&gt;"",G116&lt;&gt;"",C116&lt;&gt;""),"X",AND(OR($E$12="Flow",$E$12="Volume"),D116&lt;&gt;"",F116&lt;&gt;"",C116&lt;&gt;""),"X",AND($E$12="Depth",$E$10&lt;&gt;"",$E$8&lt;&gt;"",D116&lt;&gt;"",F116&lt;&gt;"",C116&lt;&gt;""),"X",AND($E$12="Load",D116&lt;="",E116&lt;&gt;"",F116&lt;&gt;"",G116&lt;&gt;"",C116&lt;&gt;""),"X",AND($E$12="Yield",D116&lt;="",E116&lt;&gt;"",F116&lt;&gt;"",G116&lt;&gt;"",$E$8&lt;&gt;"",$E$10&lt;&gt;"",C116&lt;&gt;""),"X",C116="","",1&gt;0,"")</f>
        <v/>
      </c>
      <c r="I116" s="7"/>
      <c r="J116" s="121" t="str" cm="1">
        <f t="array" ref="J116">_xlfn.IFS(AND($E$12="Concentration",E116&lt;&gt;""),E116,AND(OR($E$12="Volume", $E$12="Flow"),D116&lt;&gt;""),D116,AND($E$12="Load",D116&lt;&gt;"",E116&lt;&gt;""),D116*E116*conv_fact,AND($E$12="Yield",D116&lt;&gt;"",E116&lt;&gt;"", $E$8&lt;&gt;""),D116*E116*conv_fact/$E$8,AND($E$12="Depth",D116&lt;&gt;"",$E$8&lt;&gt;""),D116*conv_fact/$E$8,OR(D116="",E116=""),"")</f>
        <v/>
      </c>
      <c r="K116" s="121" t="str" cm="1">
        <f t="array" ref="K116">_xlfn.IFS(AND($E$12="Concentration",G116&lt;&gt;""),G116,AND(OR($E$12="Volume", $E$12="Flow"),F116&lt;&gt;""),F116,AND($E$12="Load",F116&lt;&gt;"",G116&lt;&gt;""),F116*G116*conv_fact,AND($E$12="Yield",F116&lt;&gt;"",G116&lt;&gt;"", $E$10&lt;&gt;""),F116*G116*conv_fact/$E$10, AND($E$12="Depth",F116&lt;&gt;"",$E$10&lt;&gt;""),F116*conv_fact/$E$10,OR(F116="",G116=""),"")</f>
        <v/>
      </c>
      <c r="L116" s="118" t="e">
        <f t="shared" si="37"/>
        <v>#N/A</v>
      </c>
      <c r="M116" s="118" t="e">
        <f t="shared" si="38"/>
        <v>#N/A</v>
      </c>
      <c r="O116" s="3" t="str">
        <f t="shared" si="39"/>
        <v/>
      </c>
      <c r="P116" s="3" t="str">
        <f t="shared" si="46"/>
        <v/>
      </c>
      <c r="Q116" t="str">
        <f t="shared" si="53"/>
        <v/>
      </c>
      <c r="S116" s="20" t="str">
        <v/>
      </c>
      <c r="T116" s="20" t="str">
        <f t="shared" si="40"/>
        <v/>
      </c>
      <c r="U116" t="str">
        <f t="shared" si="47"/>
        <v/>
      </c>
      <c r="V116" s="3" t="str">
        <f t="shared" si="54"/>
        <v/>
      </c>
      <c r="W116" s="20" t="str">
        <v/>
      </c>
      <c r="X116" s="20" t="str">
        <f t="shared" si="41"/>
        <v/>
      </c>
      <c r="Y116" t="str">
        <f t="shared" si="48"/>
        <v/>
      </c>
      <c r="AA116" t="str">
        <f t="shared" si="42"/>
        <v/>
      </c>
      <c r="AB116" t="str">
        <f t="shared" si="43"/>
        <v/>
      </c>
      <c r="AJ116" t="str">
        <f t="shared" si="44"/>
        <v/>
      </c>
      <c r="AK116" t="str">
        <f t="shared" si="49"/>
        <v/>
      </c>
      <c r="AL116" t="str">
        <f t="shared" si="50"/>
        <v/>
      </c>
      <c r="AM116" t="str">
        <f t="shared" si="51"/>
        <v/>
      </c>
      <c r="AN116" t="str">
        <f t="shared" si="52"/>
        <v/>
      </c>
    </row>
    <row r="117" spans="1:40" x14ac:dyDescent="0.3">
      <c r="A117" s="7"/>
      <c r="B117" s="14" t="str">
        <f t="shared" si="45"/>
        <v/>
      </c>
      <c r="C117" s="26"/>
      <c r="D117" s="81"/>
      <c r="E117" s="81"/>
      <c r="F117" s="81"/>
      <c r="G117" s="81"/>
      <c r="H117" s="13" t="str" cm="1">
        <f t="array" ref="H117">_xlfn.IFS(AND($E$12="Concentration",E117&lt;&gt;"",G117&lt;&gt;"",C117&lt;&gt;""),"X",AND(OR($E$12="Flow",$E$12="Volume"),D117&lt;&gt;"",F117&lt;&gt;"",C117&lt;&gt;""),"X",AND($E$12="Depth",$E$10&lt;&gt;"",$E$8&lt;&gt;"",D117&lt;&gt;"",F117&lt;&gt;"",C117&lt;&gt;""),"X",AND($E$12="Load",D117&lt;="",E117&lt;&gt;"",F117&lt;&gt;"",G117&lt;&gt;"",C117&lt;&gt;""),"X",AND($E$12="Yield",D117&lt;="",E117&lt;&gt;"",F117&lt;&gt;"",G117&lt;&gt;"",$E$8&lt;&gt;"",$E$10&lt;&gt;"",C117&lt;&gt;""),"X",C117="","",1&gt;0,"")</f>
        <v/>
      </c>
      <c r="I117" s="7"/>
      <c r="J117" s="121" t="str" cm="1">
        <f t="array" ref="J117">_xlfn.IFS(AND($E$12="Concentration",E117&lt;&gt;""),E117,AND(OR($E$12="Volume", $E$12="Flow"),D117&lt;&gt;""),D117,AND($E$12="Load",D117&lt;&gt;"",E117&lt;&gt;""),D117*E117*conv_fact,AND($E$12="Yield",D117&lt;&gt;"",E117&lt;&gt;"", $E$8&lt;&gt;""),D117*E117*conv_fact/$E$8,AND($E$12="Depth",D117&lt;&gt;"",$E$8&lt;&gt;""),D117*conv_fact/$E$8,OR(D117="",E117=""),"")</f>
        <v/>
      </c>
      <c r="K117" s="121" t="str" cm="1">
        <f t="array" ref="K117">_xlfn.IFS(AND($E$12="Concentration",G117&lt;&gt;""),G117,AND(OR($E$12="Volume", $E$12="Flow"),F117&lt;&gt;""),F117,AND($E$12="Load",F117&lt;&gt;"",G117&lt;&gt;""),F117*G117*conv_fact,AND($E$12="Yield",F117&lt;&gt;"",G117&lt;&gt;"", $E$10&lt;&gt;""),F117*G117*conv_fact/$E$10, AND($E$12="Depth",F117&lt;&gt;"",$E$10&lt;&gt;""),F117*conv_fact/$E$10,OR(F117="",G117=""),"")</f>
        <v/>
      </c>
      <c r="L117" s="118" t="e">
        <f t="shared" si="37"/>
        <v>#N/A</v>
      </c>
      <c r="M117" s="118" t="e">
        <f t="shared" si="38"/>
        <v>#N/A</v>
      </c>
      <c r="O117" s="3" t="str">
        <f t="shared" si="39"/>
        <v/>
      </c>
      <c r="P117" s="3" t="str">
        <f t="shared" si="46"/>
        <v/>
      </c>
      <c r="Q117" t="str">
        <f t="shared" si="53"/>
        <v/>
      </c>
      <c r="S117" s="20" t="str">
        <v/>
      </c>
      <c r="T117" s="20" t="str">
        <f t="shared" si="40"/>
        <v/>
      </c>
      <c r="U117" t="str">
        <f t="shared" si="47"/>
        <v/>
      </c>
      <c r="V117" s="3" t="str">
        <f t="shared" si="54"/>
        <v/>
      </c>
      <c r="W117" s="20" t="str">
        <v/>
      </c>
      <c r="X117" s="20" t="str">
        <f t="shared" si="41"/>
        <v/>
      </c>
      <c r="Y117" t="str">
        <f t="shared" si="48"/>
        <v/>
      </c>
      <c r="AA117" t="str">
        <f t="shared" si="42"/>
        <v/>
      </c>
      <c r="AB117" t="str">
        <f t="shared" si="43"/>
        <v/>
      </c>
      <c r="AJ117" t="str">
        <f t="shared" si="44"/>
        <v/>
      </c>
      <c r="AK117" t="str">
        <f t="shared" si="49"/>
        <v/>
      </c>
      <c r="AL117" t="str">
        <f t="shared" si="50"/>
        <v/>
      </c>
      <c r="AM117" t="str">
        <f t="shared" si="51"/>
        <v/>
      </c>
      <c r="AN117" t="str">
        <f t="shared" si="52"/>
        <v/>
      </c>
    </row>
    <row r="118" spans="1:40" x14ac:dyDescent="0.3">
      <c r="A118" s="7"/>
      <c r="B118" s="14" t="str">
        <f t="shared" si="45"/>
        <v/>
      </c>
      <c r="C118" s="26"/>
      <c r="D118" s="81"/>
      <c r="E118" s="81"/>
      <c r="F118" s="81"/>
      <c r="G118" s="81"/>
      <c r="H118" s="13" t="str" cm="1">
        <f t="array" ref="H118">_xlfn.IFS(AND($E$12="Concentration",E118&lt;&gt;"",G118&lt;&gt;"",C118&lt;&gt;""),"X",AND(OR($E$12="Flow",$E$12="Volume"),D118&lt;&gt;"",F118&lt;&gt;"",C118&lt;&gt;""),"X",AND($E$12="Depth",$E$10&lt;&gt;"",$E$8&lt;&gt;"",D118&lt;&gt;"",F118&lt;&gt;"",C118&lt;&gt;""),"X",AND($E$12="Load",D118&lt;="",E118&lt;&gt;"",F118&lt;&gt;"",G118&lt;&gt;"",C118&lt;&gt;""),"X",AND($E$12="Yield",D118&lt;="",E118&lt;&gt;"",F118&lt;&gt;"",G118&lt;&gt;"",$E$8&lt;&gt;"",$E$10&lt;&gt;"",C118&lt;&gt;""),"X",C118="","",1&gt;0,"")</f>
        <v/>
      </c>
      <c r="I118" s="7"/>
      <c r="J118" s="121" t="str" cm="1">
        <f t="array" ref="J118">_xlfn.IFS(AND($E$12="Concentration",E118&lt;&gt;""),E118,AND(OR($E$12="Volume", $E$12="Flow"),D118&lt;&gt;""),D118,AND($E$12="Load",D118&lt;&gt;"",E118&lt;&gt;""),D118*E118*conv_fact,AND($E$12="Yield",D118&lt;&gt;"",E118&lt;&gt;"", $E$8&lt;&gt;""),D118*E118*conv_fact/$E$8,AND($E$12="Depth",D118&lt;&gt;"",$E$8&lt;&gt;""),D118*conv_fact/$E$8,OR(D118="",E118=""),"")</f>
        <v/>
      </c>
      <c r="K118" s="121" t="str" cm="1">
        <f t="array" ref="K118">_xlfn.IFS(AND($E$12="Concentration",G118&lt;&gt;""),G118,AND(OR($E$12="Volume", $E$12="Flow"),F118&lt;&gt;""),F118,AND($E$12="Load",F118&lt;&gt;"",G118&lt;&gt;""),F118*G118*conv_fact,AND($E$12="Yield",F118&lt;&gt;"",G118&lt;&gt;"", $E$10&lt;&gt;""),F118*G118*conv_fact/$E$10, AND($E$12="Depth",F118&lt;&gt;"",$E$10&lt;&gt;""),F118*conv_fact/$E$10,OR(F118="",G118=""),"")</f>
        <v/>
      </c>
      <c r="L118" s="118" t="e">
        <f t="shared" si="37"/>
        <v>#N/A</v>
      </c>
      <c r="M118" s="118" t="e">
        <f t="shared" si="38"/>
        <v>#N/A</v>
      </c>
      <c r="O118" s="3" t="str">
        <f t="shared" si="39"/>
        <v/>
      </c>
      <c r="P118" s="3" t="str">
        <f t="shared" si="46"/>
        <v/>
      </c>
      <c r="Q118" t="str">
        <f t="shared" si="53"/>
        <v/>
      </c>
      <c r="S118" s="20" t="str">
        <v/>
      </c>
      <c r="T118" s="20" t="str">
        <f t="shared" si="40"/>
        <v/>
      </c>
      <c r="U118" t="str">
        <f t="shared" si="47"/>
        <v/>
      </c>
      <c r="V118" s="3" t="str">
        <f t="shared" si="54"/>
        <v/>
      </c>
      <c r="W118" s="20" t="str">
        <v/>
      </c>
      <c r="X118" s="20" t="str">
        <f t="shared" si="41"/>
        <v/>
      </c>
      <c r="Y118" t="str">
        <f t="shared" si="48"/>
        <v/>
      </c>
      <c r="AA118" t="str">
        <f t="shared" si="42"/>
        <v/>
      </c>
      <c r="AB118" t="str">
        <f t="shared" si="43"/>
        <v/>
      </c>
      <c r="AJ118" t="str">
        <f t="shared" si="44"/>
        <v/>
      </c>
      <c r="AK118" t="str">
        <f t="shared" si="49"/>
        <v/>
      </c>
      <c r="AL118" t="str">
        <f t="shared" si="50"/>
        <v/>
      </c>
      <c r="AM118" t="str">
        <f t="shared" si="51"/>
        <v/>
      </c>
      <c r="AN118" t="str">
        <f t="shared" si="52"/>
        <v/>
      </c>
    </row>
    <row r="119" spans="1:40" x14ac:dyDescent="0.3">
      <c r="A119" s="7"/>
      <c r="B119" s="14" t="str">
        <f t="shared" si="45"/>
        <v/>
      </c>
      <c r="C119" s="26"/>
      <c r="D119" s="81"/>
      <c r="E119" s="81"/>
      <c r="F119" s="81"/>
      <c r="G119" s="81"/>
      <c r="H119" s="13" t="str" cm="1">
        <f t="array" ref="H119">_xlfn.IFS(AND($E$12="Concentration",E119&lt;&gt;"",G119&lt;&gt;"",C119&lt;&gt;""),"X",AND(OR($E$12="Flow",$E$12="Volume"),D119&lt;&gt;"",F119&lt;&gt;"",C119&lt;&gt;""),"X",AND($E$12="Depth",$E$10&lt;&gt;"",$E$8&lt;&gt;"",D119&lt;&gt;"",F119&lt;&gt;"",C119&lt;&gt;""),"X",AND($E$12="Load",D119&lt;="",E119&lt;&gt;"",F119&lt;&gt;"",G119&lt;&gt;"",C119&lt;&gt;""),"X",AND($E$12="Yield",D119&lt;="",E119&lt;&gt;"",F119&lt;&gt;"",G119&lt;&gt;"",$E$8&lt;&gt;"",$E$10&lt;&gt;"",C119&lt;&gt;""),"X",C119="","",1&gt;0,"")</f>
        <v/>
      </c>
      <c r="I119" s="7"/>
      <c r="J119" s="121" t="str" cm="1">
        <f t="array" ref="J119">_xlfn.IFS(AND($E$12="Concentration",E119&lt;&gt;""),E119,AND(OR($E$12="Volume", $E$12="Flow"),D119&lt;&gt;""),D119,AND($E$12="Load",D119&lt;&gt;"",E119&lt;&gt;""),D119*E119*conv_fact,AND($E$12="Yield",D119&lt;&gt;"",E119&lt;&gt;"", $E$8&lt;&gt;""),D119*E119*conv_fact/$E$8,AND($E$12="Depth",D119&lt;&gt;"",$E$8&lt;&gt;""),D119*conv_fact/$E$8,OR(D119="",E119=""),"")</f>
        <v/>
      </c>
      <c r="K119" s="121" t="str" cm="1">
        <f t="array" ref="K119">_xlfn.IFS(AND($E$12="Concentration",G119&lt;&gt;""),G119,AND(OR($E$12="Volume", $E$12="Flow"),F119&lt;&gt;""),F119,AND($E$12="Load",F119&lt;&gt;"",G119&lt;&gt;""),F119*G119*conv_fact,AND($E$12="Yield",F119&lt;&gt;"",G119&lt;&gt;"", $E$10&lt;&gt;""),F119*G119*conv_fact/$E$10, AND($E$12="Depth",F119&lt;&gt;"",$E$10&lt;&gt;""),F119*conv_fact/$E$10,OR(F119="",G119=""),"")</f>
        <v/>
      </c>
      <c r="L119" s="118" t="e">
        <f t="shared" si="37"/>
        <v>#N/A</v>
      </c>
      <c r="M119" s="118" t="e">
        <f t="shared" si="38"/>
        <v>#N/A</v>
      </c>
      <c r="O119" s="3" t="str">
        <f t="shared" si="39"/>
        <v/>
      </c>
      <c r="P119" s="3" t="str">
        <f t="shared" si="46"/>
        <v/>
      </c>
      <c r="Q119" t="str">
        <f t="shared" si="53"/>
        <v/>
      </c>
      <c r="S119" s="20" t="str">
        <v/>
      </c>
      <c r="T119" s="20" t="str">
        <f t="shared" si="40"/>
        <v/>
      </c>
      <c r="U119" t="str">
        <f t="shared" si="47"/>
        <v/>
      </c>
      <c r="V119" s="3" t="str">
        <f t="shared" si="54"/>
        <v/>
      </c>
      <c r="W119" s="20" t="str">
        <v/>
      </c>
      <c r="X119" s="20" t="str">
        <f t="shared" si="41"/>
        <v/>
      </c>
      <c r="Y119" t="str">
        <f t="shared" si="48"/>
        <v/>
      </c>
      <c r="AA119" t="str">
        <f t="shared" si="42"/>
        <v/>
      </c>
      <c r="AB119" t="str">
        <f t="shared" si="43"/>
        <v/>
      </c>
      <c r="AJ119" t="str">
        <f t="shared" si="44"/>
        <v/>
      </c>
      <c r="AK119" t="str">
        <f t="shared" si="49"/>
        <v/>
      </c>
      <c r="AL119" t="str">
        <f t="shared" si="50"/>
        <v/>
      </c>
      <c r="AM119" t="str">
        <f t="shared" si="51"/>
        <v/>
      </c>
      <c r="AN119" t="str">
        <f t="shared" si="52"/>
        <v/>
      </c>
    </row>
    <row r="120" spans="1:40" hidden="1" x14ac:dyDescent="0.3">
      <c r="B120" s="14" t="str">
        <f t="shared" si="45"/>
        <v/>
      </c>
      <c r="C120" s="26"/>
      <c r="D120" s="26"/>
      <c r="E120" s="81"/>
      <c r="F120" s="26"/>
      <c r="G120" s="26"/>
      <c r="H120" s="13" t="str" cm="1">
        <f t="array" ref="H120">_xlfn.IFS(AND($E$12="Concentration",E120&lt;&gt;"",G120&lt;&gt;"",C120&lt;&gt;""),"X",AND(OR($E$12="Flow",$E$12="Volume"),D120&lt;&gt;"",F120&lt;&gt;"",C120&lt;&gt;""),"X",AND($E$12="Depth",$E$10&lt;&gt;"",$E$8&lt;&gt;"",D120&lt;&gt;"",F120&lt;&gt;"",C120&lt;&gt;""),"X",AND($E$12="Load",D120&lt;="",E120&lt;&gt;"",F120&lt;&gt;"",G120&lt;&gt;"",C120&lt;&gt;""),"X",AND($E$12="Yield",D120&lt;="",E120&lt;&gt;"",F120&lt;&gt;"",G120&lt;&gt;"",$E$8&lt;&gt;"",$E$10&lt;&gt;"",C120&lt;&gt;""),"X",C120="","",1&gt;0,"")</f>
        <v/>
      </c>
      <c r="O120" s="3" t="str">
        <f t="shared" si="39"/>
        <v/>
      </c>
      <c r="P120" s="3" t="str">
        <f t="shared" si="46"/>
        <v/>
      </c>
      <c r="S120" s="20"/>
      <c r="T120" s="20"/>
      <c r="U120" s="3"/>
      <c r="Y120" s="20"/>
    </row>
    <row r="121" spans="1:40" x14ac:dyDescent="0.3"/>
  </sheetData>
  <sheetProtection algorithmName="SHA-512" hashValue="0V8dLmLnSX/U1n/g5EQ2Mpn/tnU4UWuU6IilvEs+tZ3eWbuB8zLBjGPeUEW5QRJy9wJIww4k4sX4PofK5lWsvw==" saltValue="au9bnOPQDD4BqfAy6TRFjg==" spinCount="100000" sheet="1" selectLockedCells="1"/>
  <mergeCells count="1">
    <mergeCell ref="C14:G17"/>
  </mergeCells>
  <conditionalFormatting sqref="C35:C39">
    <cfRule type="containsBlanks" dxfId="34" priority="57">
      <formula>LEN(TRIM(C35))=0</formula>
    </cfRule>
    <cfRule type="notContainsBlanks" dxfId="33" priority="60">
      <formula>LEN(TRIM(C35))&gt;0</formula>
    </cfRule>
  </conditionalFormatting>
  <conditionalFormatting sqref="D35:D39 F35:F39">
    <cfRule type="expression" dxfId="32" priority="27">
      <formula>AND(OR($C$12="Qtotal",$C$12="Qpeak",$E$12="Load",$E$12="Yield"), NOT(ISBLANK(D35)))</formula>
    </cfRule>
    <cfRule type="expression" dxfId="31" priority="28">
      <formula>AND(OR($C$12="Qtotal",$C$12="Qpeak",$E$12="Load",$E$12="Yield"), ISBLANK(D35))</formula>
    </cfRule>
    <cfRule type="expression" dxfId="30" priority="29">
      <formula>OR($C$12&lt;&gt;"Qtotal",$C$12&lt;&gt;"Qpeak",$E$12&lt;&gt;"Load",$E$12&lt;&gt;"Yield")</formula>
    </cfRule>
  </conditionalFormatting>
  <conditionalFormatting sqref="E35:E39 G35:G39">
    <cfRule type="expression" dxfId="29" priority="24">
      <formula>OR($C$12="Qtotal",$C$12="Qpeak")</formula>
    </cfRule>
    <cfRule type="expression" dxfId="28" priority="25">
      <formula>AND(OR($C$12&lt;&gt;"Qtotal",$C$12&lt;&gt;"Qpeak"), NOT(ISBLANK(E35)))</formula>
    </cfRule>
    <cfRule type="expression" dxfId="27" priority="26">
      <formula>AND(OR($C$12&lt;&gt;"Qtotal",$C$12&lt;&gt;"Qpeak"), ISBLANK(E35))</formula>
    </cfRule>
  </conditionalFormatting>
  <conditionalFormatting sqref="C40:C119">
    <cfRule type="expression" dxfId="26" priority="20">
      <formula>AND(COUNT(D40:G40)&gt;0, NOT(ISBLANK(C40)))</formula>
    </cfRule>
    <cfRule type="expression" dxfId="25" priority="21">
      <formula>AND(COUNT(D40:G40)&gt;0, ISBLANK(C40))</formula>
    </cfRule>
    <cfRule type="expression" dxfId="24" priority="23">
      <formula>ISBLANK(C40)</formula>
    </cfRule>
  </conditionalFormatting>
  <conditionalFormatting sqref="D40:D119">
    <cfRule type="expression" dxfId="23" priority="17">
      <formula>AND(OR($C$12="Qtotal",$C$12="Qpeak",$E$12="Load",$E$12="Yield"), NOT(ISBLANK(D40)))</formula>
    </cfRule>
    <cfRule type="expression" dxfId="22" priority="18">
      <formula>AND(OR($C$12="Qtotal",$C$12="Qpeak",$E$12="Load",$E$12="Yield"), ISBLANK(D40), OR(NOT(ISBLANK(C40)),NOT(ISBLANK(E40)), NOT(ISBLANK(F40))))</formula>
    </cfRule>
    <cfRule type="expression" dxfId="21" priority="19">
      <formula>"1&gt;0"</formula>
    </cfRule>
  </conditionalFormatting>
  <conditionalFormatting sqref="F40:F119">
    <cfRule type="expression" dxfId="20" priority="14">
      <formula>AND(OR($C$12="Qtotal",$C$12="Qpeak",$E$12="Load",$E$12="Yield"), NOT(ISBLANK(F40)))</formula>
    </cfRule>
    <cfRule type="expression" dxfId="19" priority="15">
      <formula>AND(OR($C$12="Qtotal",$C$12="Qpeak",$E$12="Load",$E$12="Yield"), ISBLANK(F40), OR(NOT(ISBLANK(C40)),NOT(ISBLANK(G40)), NOT(ISBLANK(D40))))</formula>
    </cfRule>
    <cfRule type="expression" dxfId="18" priority="16">
      <formula>1&gt;0</formula>
    </cfRule>
  </conditionalFormatting>
  <conditionalFormatting sqref="E40:E120">
    <cfRule type="expression" dxfId="17" priority="11">
      <formula>AND($C$12&lt;&gt;"Qtotal",$C$12&lt;&gt;"Qpeak", NOT(ISBLANK(E40)))</formula>
    </cfRule>
    <cfRule type="expression" dxfId="16" priority="12">
      <formula>AND($C$12&lt;&gt;"Qtotal",$C$12&lt;&gt;"Qpeak", ISBLANK(E40), OR(NOT(ISBLANK(C40)),NOT(ISBLANK(D40)),NOT(ISBLANK(F40)),NOT(ISBLANK(G40))))</formula>
    </cfRule>
    <cfRule type="expression" dxfId="15" priority="13">
      <formula>1&gt;0</formula>
    </cfRule>
  </conditionalFormatting>
  <conditionalFormatting sqref="G40:G119">
    <cfRule type="expression" dxfId="14" priority="8">
      <formula>AND($C$12&lt;&gt;"Qtotal",$C$12&lt;&gt;"Qpeak", NOT(ISBLANK(G40)))</formula>
    </cfRule>
    <cfRule type="expression" dxfId="13" priority="9">
      <formula>AND($C$12&lt;&gt;"Qtotal",$C$12&lt;&gt;"Qpeak", ISBLANK(G40), OR(NOT(ISBLANK(C40)),NOT(ISBLANK(D40)),NOT(ISBLANK(E40)),NOT(ISBLANK(F40))))</formula>
    </cfRule>
    <cfRule type="expression" dxfId="12" priority="10">
      <formula>1&gt;0</formula>
    </cfRule>
  </conditionalFormatting>
  <conditionalFormatting sqref="P18">
    <cfRule type="expression" dxfId="11" priority="7">
      <formula>$P$18</formula>
    </cfRule>
  </conditionalFormatting>
  <conditionalFormatting sqref="E12">
    <cfRule type="expression" dxfId="10" priority="6">
      <formula>$P$18=$E$12</formula>
    </cfRule>
  </conditionalFormatting>
  <conditionalFormatting sqref="E10 E8">
    <cfRule type="expression" dxfId="9" priority="1">
      <formula>AND($E$12&lt;&gt;"Depth", $E$12&lt;&gt;"Yield")</formula>
    </cfRule>
    <cfRule type="expression" dxfId="8" priority="2">
      <formula>AND(OR($E$12="Depth", $E$12="Yield"),NOT(ISBLANK(E8)))</formula>
    </cfRule>
    <cfRule type="expression" dxfId="7" priority="3">
      <formula>AND(OR($E$12="Depth", $E$12="Yield"),ISBLANK(E8))</formula>
    </cfRule>
  </conditionalFormatting>
  <conditionalFormatting sqref="E6 G6 G8 G10 E12 C6 C8 C10 C12 C14">
    <cfRule type="notContainsBlanks" dxfId="6" priority="56">
      <formula>LEN(TRIM(C6))&gt;0</formula>
    </cfRule>
    <cfRule type="containsBlanks" dxfId="5" priority="56">
      <formula>LEN(TRIM(C6))=0</formula>
    </cfRule>
  </conditionalFormatting>
  <dataValidations xWindow="1001" yWindow="686" count="14">
    <dataValidation showInputMessage="1" showErrorMessage="1" sqref="H18 E18:F18 G12 F12:F13" xr:uid="{10A936B4-7723-42A6-8AB4-BA10FAB57744}"/>
    <dataValidation type="date" operator="greaterThan" allowBlank="1" showInputMessage="1" showErrorMessage="1" sqref="C120:D120" xr:uid="{1BDDFC0C-DFBA-473A-914F-A44F016E6D01}">
      <formula1>32874</formula1>
    </dataValidation>
    <dataValidation type="decimal" allowBlank="1" showInputMessage="1" showErrorMessage="1" promptTitle="Treatment Site Area" prompt="Enter the acreage draining to the treatment site" sqref="E10" xr:uid="{7AFEDC11-DFA4-4EA6-BD80-5B6AD88CBD4B}">
      <formula1>0</formula1>
      <formula2>1000</formula2>
    </dataValidation>
    <dataValidation type="decimal" allowBlank="1" showInputMessage="1" showErrorMessage="1" promptTitle="Treatment Flow Observation" prompt="Enter the value for the observation of total or peak flow at the treatment site for this date" sqref="F35:F119" xr:uid="{F9C8A31F-8E9B-406E-BF85-423897414FC7}">
      <formula1>0</formula1>
      <formula2>100000</formula2>
    </dataValidation>
    <dataValidation type="textLength" operator="greaterThanOrEqual" allowBlank="1" showInputMessage="1" showErrorMessage="1" promptTitle="Monitoring Activity ID" prompt="NRCS assigned activity ID e.g. AL00101. If you don't have an ID please contact SM.NRCS.WQMT@usda.gov to obtain one." sqref="C6" xr:uid="{93889031-AAC7-4D89-A0FF-4F4F86E049DD}">
      <formula1>7</formula1>
    </dataValidation>
    <dataValidation type="textLength" operator="greaterThanOrEqual" allowBlank="1" showInputMessage="1" showErrorMessage="1" promptTitle="User Initials" prompt="Enter your intials e.g. ABC" sqref="E6" xr:uid="{288FD53A-403A-407A-A7D8-06FA13A72CC0}">
      <formula1>2</formula1>
    </dataValidation>
    <dataValidation type="textLength" operator="greaterThan" allowBlank="1" showInputMessage="1" showErrorMessage="1" promptTitle="Control Station ID" prompt="NRCS assigned treatment station ID: e.g. AL00102. If you don't have an ID please contact SM.NRCS.WQMT@usda.gov to obtain one." sqref="C8" xr:uid="{1E7E5BA4-D222-44C1-B007-5FDD8E9B0BAB}">
      <formula1>5</formula1>
    </dataValidation>
    <dataValidation type="textLength" operator="greaterThanOrEqual" allowBlank="1" showInputMessage="1" showErrorMessage="1" promptTitle="Treatment Station ID" prompt="NRCS assigned treatment station ID: e.g. AL00102. If you don't have an ID please contact SM.NRCS.WQMT@usda.gov to obtain one." sqref="C10" xr:uid="{11741B77-81AE-4110-AC9F-F49E0E02C28F}">
      <formula1>5</formula1>
    </dataValidation>
    <dataValidation type="textLength" operator="greaterThan" allowBlank="1" showInputMessage="1" showErrorMessage="1" promptTitle="Treatment Description" prompt="Enter a description of the aspects of the conservation practice are being tested. Provide quantitative descriptions where possible." sqref="C14:G17" xr:uid="{EF63C1CA-A784-4AB8-B859-B8D85AE1653B}">
      <formula1>10</formula1>
    </dataValidation>
    <dataValidation type="date" operator="greaterThan" allowBlank="1" showInputMessage="1" showErrorMessage="1" promptTitle="Date" prompt="Enter date for corresponding samples e.g. 1/10/2029" sqref="C36:C119 C35" xr:uid="{2D18503F-069F-4968-965C-B652338CE684}">
      <formula1>32874</formula1>
    </dataValidation>
    <dataValidation allowBlank="1" showInputMessage="1" showErrorMessage="1" promptTitle="Control Concentration" prompt="Enter the observed concetration at the control site for this date" sqref="E35:E119" xr:uid="{DBD32332-C4B2-4E70-966B-278036A08C18}"/>
    <dataValidation allowBlank="1" showInputMessage="1" showErrorMessage="1" promptTitle="Treatment Concentration" prompt="Enter the observed concetration at the treatment site for this date" sqref="G35:G119" xr:uid="{F16AC947-6426-40B1-98C6-6D0B4D06FDD9}"/>
    <dataValidation type="decimal" allowBlank="1" showInputMessage="1" showErrorMessage="1" promptTitle="Control Flow Observation" prompt="Enter the value for the observation of total or peak flow at the control site for this date" sqref="D35:D119" xr:uid="{3F471784-9C0D-46E9-9CD1-F12F0DECB52A}">
      <formula1>0</formula1>
      <formula2>100000</formula2>
    </dataValidation>
    <dataValidation type="decimal" allowBlank="1" showInputMessage="1" showErrorMessage="1" promptTitle="Control Site Drainage Area" prompt="Enter the acreage draining to the control site" sqref="E8" xr:uid="{7970F476-7EDD-41D7-B4EF-44BFB1E61ACE}">
      <formula1>0</formula1>
      <formula2>1000</formula2>
    </dataValidation>
  </dataValidations>
  <pageMargins left="0.7" right="0.7" top="0.75" bottom="0.75" header="0.3" footer="0.3"/>
  <pageSetup scale="60" fitToHeight="0" orientation="portrait" horizontalDpi="1200" verticalDpi="1200" r:id="rId1"/>
  <drawing r:id="rId2"/>
  <extLst>
    <ext xmlns:x14="http://schemas.microsoft.com/office/spreadsheetml/2009/9/main" uri="{CCE6A557-97BC-4b89-ADB6-D9C93CAAB3DF}">
      <x14:dataValidations xmlns:xm="http://schemas.microsoft.com/office/excel/2006/main" xWindow="1001" yWindow="686" count="5">
        <x14:dataValidation type="list" operator="greaterThan" showInputMessage="1" showErrorMessage="1" promptTitle="Monitoring Design" prompt="Select a monitoring design associated with this activity" xr:uid="{CF89B3E6-392C-4C4A-98ED-E210631938C7}">
          <x14:formula1>
            <xm:f>lookup!$P$11:$P$12</xm:f>
          </x14:formula1>
          <xm:sqref>G6</xm:sqref>
        </x14:dataValidation>
        <x14:dataValidation type="list" showInputMessage="1" showErrorMessage="1" promptTitle="Significance Level" prompt="Select the desired level of statistical significance to evaluate the date at." xr:uid="{AD76DDAC-5DB9-4BFC-A1E9-5D1E2119739D}">
          <x14:formula1>
            <xm:f>lookup!$N$11:$N$13</xm:f>
          </x14:formula1>
          <xm:sqref>G10</xm:sqref>
        </x14:dataValidation>
        <x14:dataValidation type="list" showInputMessage="1" showErrorMessage="1" promptTitle="CPS Code" prompt="Select the numerical code for the conservation practice being evaluated with this activity" xr:uid="{02F4DFE2-BBAB-4020-A162-F87F7228B5C2}">
          <x14:formula1>
            <xm:f>lookup!$A$11:$A$190</xm:f>
          </x14:formula1>
          <xm:sqref>G8</xm:sqref>
        </x14:dataValidation>
        <x14:dataValidation type="list" allowBlank="1" showInputMessage="1" showErrorMessage="1" promptTitle="Dimensional Metric" prompt="Select a dimensional metric for the analysis. Note: 'load' and &quot;yield; require both flow and concentration with 'yield' also requiring area." xr:uid="{E8ADF0F4-BE9B-4D79-9728-DD948EAE49B9}">
          <x14:formula1>
            <xm:f>_xlfn.ANCHORARRAY(lookup!$J$11)</xm:f>
          </x14:formula1>
          <xm:sqref>E12</xm:sqref>
        </x14:dataValidation>
        <x14:dataValidation type="list" allowBlank="1" showInputMessage="1" showErrorMessage="1" promptTitle="Parameter Selection" prompt="Select a parameter from the list" xr:uid="{1F1295CC-1980-42E3-A090-A34A204E4D64}">
          <x14:formula1>
            <xm:f>lookup!$I$11:$I$19</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5A8CA-720D-46FC-8966-9E76C883A022}">
  <sheetPr codeName="Sheet4"/>
  <dimension ref="A1:H90"/>
  <sheetViews>
    <sheetView view="pageBreakPreview" zoomScale="85" zoomScaleNormal="130" zoomScaleSheetLayoutView="85" workbookViewId="0">
      <selection activeCell="A30" sqref="A30:F30"/>
    </sheetView>
  </sheetViews>
  <sheetFormatPr defaultRowHeight="14.4" x14ac:dyDescent="0.3"/>
  <cols>
    <col min="1" max="1" width="28" customWidth="1"/>
    <col min="2" max="5" width="15.6640625" customWidth="1"/>
    <col min="7" max="8" width="0" hidden="1" customWidth="1"/>
  </cols>
  <sheetData>
    <row r="1" spans="1:6" ht="18" x14ac:dyDescent="0.35">
      <c r="A1" s="110" t="s">
        <v>158</v>
      </c>
      <c r="B1" s="49"/>
      <c r="C1" s="49"/>
      <c r="D1" s="49"/>
      <c r="E1" s="49"/>
      <c r="F1" s="49"/>
    </row>
    <row r="2" spans="1:6" ht="18.600000000000001" thickBot="1" x14ac:dyDescent="0.4">
      <c r="A2" s="111" t="str">
        <f>"for Effect of Conservation Practice v. "&amp; dev!B2</f>
        <v>for Effect of Conservation Practice v. 1</v>
      </c>
      <c r="B2" s="50"/>
      <c r="C2" s="50"/>
      <c r="D2" s="50"/>
      <c r="E2" s="50"/>
      <c r="F2" s="50"/>
    </row>
    <row r="3" spans="1:6" x14ac:dyDescent="0.3">
      <c r="A3" s="2" t="s">
        <v>159</v>
      </c>
      <c r="B3" s="44">
        <f ca="1">TODAY()</f>
        <v>45582</v>
      </c>
    </row>
    <row r="4" spans="1:6" ht="18.600000000000001" thickBot="1" x14ac:dyDescent="0.4">
      <c r="A4" s="45" t="s">
        <v>160</v>
      </c>
      <c r="B4" s="46"/>
      <c r="C4" s="46"/>
      <c r="D4" s="46"/>
      <c r="E4" s="46"/>
      <c r="F4" s="46"/>
    </row>
    <row r="5" spans="1:6" ht="6.6" customHeight="1" x14ac:dyDescent="0.3"/>
    <row r="6" spans="1:6" s="104" customFormat="1" ht="15.9" customHeight="1" x14ac:dyDescent="0.3">
      <c r="A6" s="109" t="s">
        <v>161</v>
      </c>
      <c r="B6" s="104" t="str">
        <f>tool!C6</f>
        <v>AL00101</v>
      </c>
    </row>
    <row r="7" spans="1:6" s="104" customFormat="1" ht="15.9" customHeight="1" x14ac:dyDescent="0.3">
      <c r="A7" s="109" t="s">
        <v>162</v>
      </c>
      <c r="B7" s="104" t="str">
        <f>IF(tool!E6="", "",tool!E6)</f>
        <v>JLR</v>
      </c>
    </row>
    <row r="8" spans="1:6" s="104" customFormat="1" ht="15.9" customHeight="1" x14ac:dyDescent="0.3">
      <c r="A8" s="109" t="s">
        <v>163</v>
      </c>
      <c r="B8" s="104" t="str">
        <f>tool!G6</f>
        <v>Above and below</v>
      </c>
    </row>
    <row r="9" spans="1:6" s="104" customFormat="1" ht="15.9" customHeight="1" x14ac:dyDescent="0.3">
      <c r="A9" s="109" t="s">
        <v>164</v>
      </c>
      <c r="B9" s="104" t="str">
        <f>tool!C8&amp;" ("&amp;tool!E8&amp;" acres)"</f>
        <v>AL0010101 (20 acres)</v>
      </c>
    </row>
    <row r="10" spans="1:6" s="104" customFormat="1" ht="15.9" customHeight="1" x14ac:dyDescent="0.3">
      <c r="A10" s="109" t="s">
        <v>165</v>
      </c>
      <c r="B10" s="104" t="str">
        <f>tool!C10&amp;" ("&amp;tool!E10&amp;" acres)"</f>
        <v>AL0010102 (40 acres)</v>
      </c>
    </row>
    <row r="11" spans="1:6" s="104" customFormat="1" ht="15.9" customHeight="1" x14ac:dyDescent="0.3">
      <c r="A11" s="109" t="s">
        <v>166</v>
      </c>
      <c r="B11" s="104" t="str" cm="1">
        <f t="array" ref="B11">IF(tool!G8="","",tool!G8&amp;"-"&amp;_xlfn._xlws.FILTER(practice_tab[cps_name],practice_tab[cps_code]=tool!G8))</f>
        <v>316-Animal Mortality Facility</v>
      </c>
    </row>
    <row r="12" spans="1:6" s="104" customFormat="1" ht="15.9" customHeight="1" x14ac:dyDescent="0.3">
      <c r="A12" s="109" t="s">
        <v>167</v>
      </c>
      <c r="B12" s="104" t="str">
        <f>tool!C12&amp;" ("&amp;tool!G12&amp;")"</f>
        <v>NH4 (lbs.)</v>
      </c>
    </row>
    <row r="13" spans="1:6" ht="15" customHeight="1" x14ac:dyDescent="0.3">
      <c r="A13" s="109" t="s">
        <v>168</v>
      </c>
      <c r="B13" s="182" t="str">
        <f>tool!C14</f>
        <v>Corn with cover crop</v>
      </c>
      <c r="C13" s="182"/>
      <c r="D13" s="182"/>
      <c r="E13" s="182"/>
    </row>
    <row r="14" spans="1:6" ht="15" customHeight="1" x14ac:dyDescent="0.3">
      <c r="A14" s="104"/>
      <c r="B14" s="182"/>
      <c r="C14" s="182"/>
      <c r="D14" s="182"/>
      <c r="E14" s="182"/>
    </row>
    <row r="15" spans="1:6" ht="24.9" customHeight="1" x14ac:dyDescent="0.3">
      <c r="A15" s="104"/>
      <c r="B15" s="182"/>
      <c r="C15" s="182"/>
      <c r="D15" s="182"/>
      <c r="E15" s="182"/>
    </row>
    <row r="16" spans="1:6" ht="15" hidden="1" customHeight="1" x14ac:dyDescent="0.3">
      <c r="A16" s="104"/>
      <c r="B16" s="183"/>
      <c r="C16" s="183"/>
      <c r="D16" s="183"/>
      <c r="E16" s="183"/>
    </row>
    <row r="17" spans="1:6" ht="18.600000000000001" thickBot="1" x14ac:dyDescent="0.4">
      <c r="A17" s="45" t="s">
        <v>169</v>
      </c>
      <c r="B17" s="46"/>
      <c r="C17" s="46"/>
      <c r="D17" s="46"/>
      <c r="E17" s="46"/>
      <c r="F17" s="46"/>
    </row>
    <row r="18" spans="1:6" ht="15.6" x14ac:dyDescent="0.3">
      <c r="A18" s="47" t="s">
        <v>170</v>
      </c>
      <c r="B18" s="5"/>
      <c r="C18" s="5"/>
      <c r="D18" s="5"/>
      <c r="E18" s="5"/>
      <c r="F18" s="5"/>
    </row>
    <row r="19" spans="1:6" x14ac:dyDescent="0.3">
      <c r="B19" s="6" t="s">
        <v>46</v>
      </c>
      <c r="C19" s="6" t="s">
        <v>48</v>
      </c>
      <c r="D19" s="6" t="s">
        <v>50</v>
      </c>
      <c r="E19" s="6" t="s">
        <v>52</v>
      </c>
      <c r="F19" s="58"/>
    </row>
    <row r="20" spans="1:6" x14ac:dyDescent="0.3">
      <c r="A20" s="48" t="s">
        <v>102</v>
      </c>
      <c r="B20" s="59">
        <f>ROUND(tool!C22, 3)</f>
        <v>111.322</v>
      </c>
      <c r="C20" s="59">
        <f>ROUND(tool!D22, 3)</f>
        <v>49181.481</v>
      </c>
      <c r="D20" s="59">
        <f>ROUND(tool!E22, 3)</f>
        <v>0.437</v>
      </c>
      <c r="E20" s="59">
        <f>ROUND(tool!F22, 3)</f>
        <v>1.3069999999999999</v>
      </c>
      <c r="F20" s="79"/>
    </row>
    <row r="21" spans="1:6" x14ac:dyDescent="0.3">
      <c r="A21" s="48" t="s">
        <v>104</v>
      </c>
      <c r="B21" s="59">
        <f>ROUND(tool!C23, 3)</f>
        <v>0.53900000000000003</v>
      </c>
      <c r="C21" s="59">
        <f>ROUND(tool!D23, 3)</f>
        <v>0.68600000000000005</v>
      </c>
      <c r="D21" s="59">
        <f>ROUND(tool!E23, 3)</f>
        <v>0.218</v>
      </c>
      <c r="E21" s="59">
        <f>ROUND(tool!F23, 3)</f>
        <v>0.19900000000000001</v>
      </c>
      <c r="F21" s="79"/>
    </row>
    <row r="22" spans="1:6" ht="6.6" customHeight="1" x14ac:dyDescent="0.3"/>
    <row r="23" spans="1:6" ht="14.4" customHeight="1" x14ac:dyDescent="0.3">
      <c r="A23" s="48" t="s">
        <v>171</v>
      </c>
      <c r="B23" s="32">
        <f>cnt</f>
        <v>5</v>
      </c>
    </row>
    <row r="24" spans="1:6" ht="6.6" customHeight="1" x14ac:dyDescent="0.3">
      <c r="A24" s="48"/>
    </row>
    <row r="25" spans="1:6" ht="15.6" x14ac:dyDescent="0.3">
      <c r="A25" s="47" t="s">
        <v>172</v>
      </c>
      <c r="B25" s="5"/>
      <c r="C25" s="5"/>
      <c r="D25" s="5"/>
      <c r="E25" s="5"/>
      <c r="F25" s="5"/>
    </row>
    <row r="26" spans="1:6" ht="6.6" customHeight="1" x14ac:dyDescent="0.3">
      <c r="A26" s="52"/>
    </row>
    <row r="27" spans="1:6" ht="15" customHeight="1" x14ac:dyDescent="0.3">
      <c r="A27" s="2" t="s">
        <v>173</v>
      </c>
      <c r="B27" s="108">
        <f>tool!G10</f>
        <v>0.05</v>
      </c>
      <c r="C27" t="str" cm="1">
        <f t="array" ref="C27">_xlfn.IFS(tool!G10="", "", B27=INDEX(alpha_tab[Alphas],1),"99% Confidence Level",B27=INDEX(alpha_tab[Alphas],2),"95% Confidence Level",B27=INDEX(alpha_tab[Alphas],3),"90% Confidence Level")</f>
        <v>95% Confidence Level</v>
      </c>
    </row>
    <row r="28" spans="1:6" ht="30" customHeight="1" x14ac:dyDescent="0.3">
      <c r="A28" s="165" t="s">
        <v>174</v>
      </c>
    </row>
    <row r="29" spans="1:6" ht="15" customHeight="1" x14ac:dyDescent="0.3">
      <c r="A29" s="2" t="s">
        <v>175</v>
      </c>
      <c r="B29" t="str">
        <f>tool!C26</f>
        <v>NOT NORMAL</v>
      </c>
    </row>
    <row r="30" spans="1:6" s="78" customFormat="1" ht="30" customHeight="1" x14ac:dyDescent="0.3">
      <c r="A30" s="184" t="s">
        <v>176</v>
      </c>
      <c r="B30" s="184"/>
      <c r="C30" s="184"/>
      <c r="D30" s="184"/>
      <c r="E30" s="184"/>
      <c r="F30" s="184"/>
    </row>
    <row r="31" spans="1:6" ht="15" customHeight="1" x14ac:dyDescent="0.3">
      <c r="A31" s="2" t="s">
        <v>177</v>
      </c>
      <c r="B31" t="str">
        <f>IF(tool!C26="NORMAL", tool!B28, tool!B29)</f>
        <v>Wilcoxon Signed-Rank</v>
      </c>
    </row>
    <row r="32" spans="1:6" ht="30" customHeight="1" x14ac:dyDescent="0.3">
      <c r="A32" s="184" t="str" cm="1">
        <f t="array" ref="A32">_xlfn.IFS(B31=tool!B28, "The T-Test is used to compare the means between two groups that have a normal distribution.", report!B31=tool!B29, "The "&amp;report!B31&amp;" test is used to compare the medians between two groups that do not have a normal distribution.")</f>
        <v>The Wilcoxon Signed-Rank test is used to compare the medians between two groups that do not have a normal distribution.</v>
      </c>
      <c r="B32" s="184"/>
      <c r="C32" s="184"/>
      <c r="D32" s="184"/>
      <c r="E32" s="184"/>
      <c r="F32" s="184"/>
    </row>
    <row r="33" spans="1:6" ht="15" customHeight="1" x14ac:dyDescent="0.3">
      <c r="A33" s="2" t="s">
        <v>178</v>
      </c>
      <c r="B33" t="str">
        <f>IF(tool!C26="NORMAL", tool!C28, tool!C29)</f>
        <v>NOT SIGNIFICANT</v>
      </c>
    </row>
    <row r="34" spans="1:6" ht="30" customHeight="1" x14ac:dyDescent="0.3">
      <c r="A34" s="184" t="s">
        <v>179</v>
      </c>
      <c r="B34" s="184"/>
      <c r="C34" s="184"/>
      <c r="D34" s="184"/>
      <c r="E34" s="184"/>
      <c r="F34" s="184"/>
    </row>
    <row r="35" spans="1:6" ht="15" customHeight="1" x14ac:dyDescent="0.3">
      <c r="A35" s="2" t="s">
        <v>180</v>
      </c>
      <c r="B35" s="166" cm="1">
        <f t="array" ref="B35">_xlfn.IFS(B31="T-Test", ROUND(tool!AH23, 3), report!B31="Wilcoxon Signed-Rank", ROUND(tool!AN24, 3), report!B31="Mann-Whitney U", ROUND(tool!AB29, 3))</f>
        <v>0.5</v>
      </c>
      <c r="C35" s="166"/>
      <c r="D35" s="166"/>
      <c r="E35" s="166"/>
      <c r="F35" s="166"/>
    </row>
    <row r="36" spans="1:6" ht="30" customHeight="1" x14ac:dyDescent="0.3">
      <c r="A36" s="184" t="s">
        <v>181</v>
      </c>
      <c r="B36" s="184"/>
      <c r="C36" s="184"/>
      <c r="D36" s="184"/>
      <c r="E36" s="184"/>
      <c r="F36" s="184"/>
    </row>
    <row r="37" spans="1:6" ht="15" customHeight="1" x14ac:dyDescent="0.3">
      <c r="A37" s="2" t="s">
        <v>182</v>
      </c>
      <c r="B37" s="108">
        <f>ROUND(tool!C30, 3)</f>
        <v>255.702</v>
      </c>
    </row>
    <row r="38" spans="1:6" ht="30" customHeight="1" x14ac:dyDescent="0.3">
      <c r="A38" s="182" t="s">
        <v>183</v>
      </c>
      <c r="B38" s="182"/>
      <c r="C38" s="182"/>
      <c r="D38" s="182"/>
      <c r="E38" s="182"/>
      <c r="F38" s="182"/>
    </row>
    <row r="39" spans="1:6" ht="15.6" x14ac:dyDescent="0.3">
      <c r="A39" s="47" t="s">
        <v>184</v>
      </c>
      <c r="B39" s="5"/>
      <c r="C39" s="5"/>
      <c r="D39" s="5"/>
      <c r="E39" s="5"/>
      <c r="F39" s="5"/>
    </row>
    <row r="40" spans="1:6" ht="54" customHeight="1" thickBot="1" x14ac:dyDescent="0.35">
      <c r="A40" s="186" t="str" cm="1">
        <f t="array" ref="A40">"The analysis assessed the impact of "&amp;B11&amp;" on "&amp;B12&amp;". The data were "&amp;IF(B29="NORMAL","normally","not normally")&amp;" distributed and the "&amp;IF(B31="T-Test",B31,B31&amp;" test")&amp;" was performed. The results indicate that "&amp;IF(B33="NOT SIGNIFICANT","practice "&amp;B11&amp;" had no significant effect on "&amp;report!B12&amp;" with a p-value of "&amp;B35&amp;".","practice "&amp;report!B11&amp;" "&amp;_xlfn.IFS(AND(report!B31="T-Test",report!B20&gt;report!B21),"reduced",AND(report!B31="T-Test",report!B20&lt;report!B21),"increased",AND(OR(report!B31="Mann-Whitney U",report!B31="Wilcoxon Signed-Rank"),report!D20&gt;report!D21),"reduced",AND(OR(report!B31="Mann-Whitney U",report!B31="Wilcoxon Signed-Rank"),report!D20&lt;report!D21),"increased")&amp;" "&amp;report!B12&amp;" at a "&amp;C27&amp;" with a p-value of "&amp;B35&amp;".")</f>
        <v>The analysis assessed the impact of 316-Animal Mortality Facility on NH4 (lbs.). The data were not normally distributed and the Wilcoxon Signed-Rank test was performed. The results indicate that practice 316-Animal Mortality Facility had no significant effect on NH4 (lbs.) with a p-value of 0.5.</v>
      </c>
      <c r="B40" s="186"/>
      <c r="C40" s="186"/>
      <c r="D40" s="186"/>
      <c r="E40" s="186"/>
      <c r="F40" s="186"/>
    </row>
    <row r="41" spans="1:6" ht="18" x14ac:dyDescent="0.35">
      <c r="A41" s="110" t="s">
        <v>158</v>
      </c>
      <c r="B41" s="49"/>
      <c r="C41" s="49"/>
      <c r="D41" s="49"/>
      <c r="E41" s="49"/>
      <c r="F41" s="49"/>
    </row>
    <row r="42" spans="1:6" ht="18.600000000000001" thickBot="1" x14ac:dyDescent="0.4">
      <c r="A42" s="111" t="str">
        <f>"for Effect of Conservation Practice v. "&amp; dev!B2</f>
        <v>for Effect of Conservation Practice v. 1</v>
      </c>
      <c r="B42" s="50"/>
      <c r="C42" s="50"/>
      <c r="D42" s="50"/>
      <c r="E42" s="50"/>
      <c r="F42" s="50"/>
    </row>
    <row r="43" spans="1:6" x14ac:dyDescent="0.3">
      <c r="A43" s="2" t="s">
        <v>159</v>
      </c>
      <c r="B43" s="44">
        <f ca="1">TODAY()</f>
        <v>45582</v>
      </c>
    </row>
    <row r="44" spans="1:6" ht="6.6" customHeight="1" x14ac:dyDescent="0.3"/>
    <row r="45" spans="1:6" ht="18.600000000000001" thickBot="1" x14ac:dyDescent="0.4">
      <c r="A45" s="45" t="s">
        <v>160</v>
      </c>
      <c r="B45" s="46"/>
      <c r="C45" s="46"/>
      <c r="D45" s="46"/>
      <c r="E45" s="46"/>
      <c r="F45" s="46"/>
    </row>
    <row r="46" spans="1:6" ht="6.6" customHeight="1" x14ac:dyDescent="0.3"/>
    <row r="47" spans="1:6" x14ac:dyDescent="0.3">
      <c r="A47" s="2" t="s">
        <v>161</v>
      </c>
      <c r="B47" t="str">
        <f>tool!C6</f>
        <v>AL00101</v>
      </c>
    </row>
    <row r="48" spans="1:6" x14ac:dyDescent="0.3">
      <c r="A48" s="2" t="s">
        <v>185</v>
      </c>
      <c r="B48" t="str">
        <f>IF(tool!E6="", "",tool!E6)</f>
        <v>JLR</v>
      </c>
    </row>
    <row r="49" spans="1:8" x14ac:dyDescent="0.3">
      <c r="A49" s="2" t="s">
        <v>163</v>
      </c>
      <c r="B49" t="str">
        <f>tool!G6</f>
        <v>Above and below</v>
      </c>
    </row>
    <row r="50" spans="1:8" x14ac:dyDescent="0.3">
      <c r="A50" s="2" t="s">
        <v>186</v>
      </c>
      <c r="B50" t="str">
        <f>tool!C8&amp;" ("&amp;tool!E8&amp;" acres)"</f>
        <v>AL0010101 (20 acres)</v>
      </c>
    </row>
    <row r="51" spans="1:8" x14ac:dyDescent="0.3">
      <c r="A51" s="2" t="s">
        <v>187</v>
      </c>
      <c r="B51" t="str">
        <f>tool!C10&amp;" ("&amp;tool!E10&amp;" acres)"</f>
        <v>AL0010102 (40 acres)</v>
      </c>
    </row>
    <row r="52" spans="1:8" x14ac:dyDescent="0.3">
      <c r="A52" s="2" t="s">
        <v>166</v>
      </c>
      <c r="B52" t="str" cm="1">
        <f t="array" ref="B52">IF(tool!G8="","",tool!G8&amp;"-"&amp;_xlfn._xlws.FILTER(practice_tab[cps_name],practice_tab[cps_code]=tool!G8))</f>
        <v>316-Animal Mortality Facility</v>
      </c>
    </row>
    <row r="53" spans="1:8" x14ac:dyDescent="0.3">
      <c r="A53" s="2" t="s">
        <v>167</v>
      </c>
      <c r="B53" t="str">
        <f>tool!C12&amp;" ("&amp;tool!G12&amp;")"</f>
        <v>NH4 (lbs.)</v>
      </c>
    </row>
    <row r="54" spans="1:8" ht="6.6" customHeight="1" x14ac:dyDescent="0.3"/>
    <row r="55" spans="1:8" ht="18.600000000000001" thickBot="1" x14ac:dyDescent="0.4">
      <c r="A55" s="45" t="s">
        <v>188</v>
      </c>
      <c r="B55" s="46"/>
      <c r="C55" s="46"/>
      <c r="D55" s="46"/>
      <c r="E55" s="46"/>
      <c r="F55" s="46"/>
      <c r="G55" s="46"/>
      <c r="H55" s="46"/>
    </row>
    <row r="56" spans="1:8" ht="18" x14ac:dyDescent="0.35">
      <c r="A56" s="105"/>
    </row>
    <row r="70" spans="1:6" ht="3" customHeight="1" x14ac:dyDescent="0.3"/>
    <row r="71" spans="1:6" s="104" customFormat="1" ht="37.5" customHeight="1" x14ac:dyDescent="0.3">
      <c r="A71" s="184" t="str">
        <f>"Figure 1: Mean (x), median (bisection), minimum (bottom whisker) and maximum (top whisker) of "&amp;B53&amp;" values at the control and treatment sites."</f>
        <v>Figure 1: Mean (x), median (bisection), minimum (bottom whisker) and maximum (top whisker) of NH4 (lbs.) values at the control and treatment sites.</v>
      </c>
      <c r="B71" s="184"/>
      <c r="C71" s="184"/>
      <c r="D71" s="184"/>
      <c r="E71" s="184"/>
      <c r="F71" s="168"/>
    </row>
    <row r="72" spans="1:6" ht="23.25" customHeight="1" x14ac:dyDescent="0.3">
      <c r="A72" s="167"/>
      <c r="B72" s="167"/>
      <c r="C72" s="167"/>
      <c r="D72" s="167"/>
      <c r="E72" s="167"/>
      <c r="F72" s="167"/>
    </row>
    <row r="73" spans="1:6" ht="30" customHeight="1" x14ac:dyDescent="0.3"/>
    <row r="83" spans="1:6" ht="40.5" customHeight="1" x14ac:dyDescent="0.3"/>
    <row r="84" spans="1:6" ht="17.25" customHeight="1" x14ac:dyDescent="0.3">
      <c r="A84" s="185" t="str">
        <f>"Figure 2: Trend of "&amp;B12&amp;" over time at the control and treatment sites."</f>
        <v>Figure 2: Trend of NH4 (lbs.) over time at the control and treatment sites.</v>
      </c>
      <c r="B84" s="185"/>
      <c r="C84" s="185"/>
      <c r="D84" s="185"/>
      <c r="E84" s="185"/>
    </row>
    <row r="86" spans="1:6" ht="24" customHeight="1" x14ac:dyDescent="0.3"/>
    <row r="90" spans="1:6" ht="15" customHeight="1" x14ac:dyDescent="0.3">
      <c r="F90" s="78"/>
    </row>
  </sheetData>
  <sheetProtection algorithmName="SHA-512" hashValue="MJgptUg7wy2VjTxwKRdw7cac9Ct1Kirt6NawcqQOEMxXZc7VbR4QK5nYm0kzae3m8sngqAgZ8F9oEXnn4qfmUQ==" saltValue="q6UKwsP1CxP8i5jjNFgF9Q==" spinCount="100000" sheet="1" selectLockedCells="1" selectUnlockedCells="1"/>
  <mergeCells count="9">
    <mergeCell ref="B13:E16"/>
    <mergeCell ref="A71:E71"/>
    <mergeCell ref="A84:E84"/>
    <mergeCell ref="A32:F32"/>
    <mergeCell ref="A38:F38"/>
    <mergeCell ref="A36:F36"/>
    <mergeCell ref="A40:F40"/>
    <mergeCell ref="A34:F34"/>
    <mergeCell ref="A30:F30"/>
  </mergeCells>
  <pageMargins left="0.25" right="0.25" top="0.5" bottom="0.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822A1-3F60-4971-A973-E54C74D9CA53}">
  <sheetPr codeName="Sheet6"/>
  <dimension ref="A1:P190"/>
  <sheetViews>
    <sheetView zoomScale="70" zoomScaleNormal="70" workbookViewId="0">
      <selection activeCell="A10" sqref="A10"/>
    </sheetView>
  </sheetViews>
  <sheetFormatPr defaultRowHeight="14.4" x14ac:dyDescent="0.3"/>
  <cols>
    <col min="1" max="1" width="17.6640625" customWidth="1"/>
    <col min="2" max="2" width="53.33203125" customWidth="1"/>
    <col min="3" max="3" width="25" customWidth="1"/>
    <col min="4" max="4" width="16.6640625" bestFit="1" customWidth="1"/>
    <col min="5" max="5" width="23" customWidth="1"/>
    <col min="6" max="6" width="10.6640625" customWidth="1"/>
    <col min="7" max="13" width="24.5546875" customWidth="1"/>
    <col min="14" max="15" width="11.44140625" customWidth="1"/>
    <col min="16" max="16" width="24.88671875" bestFit="1" customWidth="1"/>
  </cols>
  <sheetData>
    <row r="1" spans="1:16" ht="15.6" x14ac:dyDescent="0.3">
      <c r="A1" s="52" t="s">
        <v>189</v>
      </c>
      <c r="E1" s="52"/>
      <c r="F1" s="52"/>
      <c r="G1" s="52"/>
      <c r="H1" s="52"/>
      <c r="I1" s="52"/>
      <c r="J1" s="52"/>
      <c r="K1" s="52"/>
      <c r="L1" s="52"/>
      <c r="M1" s="52"/>
    </row>
    <row r="9" spans="1:16" x14ac:dyDescent="0.3">
      <c r="A9" s="94" t="s">
        <v>190</v>
      </c>
      <c r="D9" s="94" t="s">
        <v>191</v>
      </c>
      <c r="I9" s="94" t="s">
        <v>192</v>
      </c>
    </row>
    <row r="10" spans="1:16" x14ac:dyDescent="0.3">
      <c r="A10" s="2" t="s">
        <v>193</v>
      </c>
      <c r="B10" s="93" t="s">
        <v>194</v>
      </c>
      <c r="D10" s="2" t="s">
        <v>191</v>
      </c>
      <c r="E10" s="2" t="s">
        <v>195</v>
      </c>
      <c r="F10" s="2" t="s">
        <v>196</v>
      </c>
      <c r="G10" s="2" t="s">
        <v>197</v>
      </c>
      <c r="H10" s="2"/>
      <c r="I10" s="106" t="s">
        <v>198</v>
      </c>
      <c r="J10" s="106" t="s">
        <v>195</v>
      </c>
      <c r="K10" s="106" t="s">
        <v>196</v>
      </c>
      <c r="L10" s="106" t="s">
        <v>197</v>
      </c>
      <c r="M10" s="2"/>
      <c r="N10" s="2" t="s">
        <v>199</v>
      </c>
      <c r="O10" s="2"/>
      <c r="P10" s="2" t="s">
        <v>200</v>
      </c>
    </row>
    <row r="11" spans="1:16" x14ac:dyDescent="0.3">
      <c r="A11">
        <v>309</v>
      </c>
      <c r="B11" s="91" t="s">
        <v>201</v>
      </c>
      <c r="D11" t="s">
        <v>202</v>
      </c>
      <c r="E11" t="s">
        <v>203</v>
      </c>
      <c r="F11" t="s">
        <v>204</v>
      </c>
      <c r="G11">
        <v>1</v>
      </c>
      <c r="I11" s="9" t="str" cm="1">
        <f t="array" ref="I11:I19">_xlfn.UNIQUE(parameter_tab[parameter])</f>
        <v>Qpeak</v>
      </c>
      <c r="J11" s="9" t="str" cm="1">
        <f t="array" ref="J11:J13">_xlfn._xlws.FILTER(parameter_tab[metric],parameter_tab[parameter]=tool!C12)</f>
        <v>Concentration</v>
      </c>
      <c r="K11" s="9" t="str" cm="1">
        <f t="array" ref="K11">_xlfn.CHOOSECOLS(_xlfn._xlws.FILTER(parameter_tab[],(parameter_tab[parameter]=tool!C12)*(parameter_tab[metric]=tool!E12)),3)</f>
        <v>lbs.</v>
      </c>
      <c r="L11" s="9" cm="1">
        <f t="array" ref="L11">_xlfn.CHOOSECOLS(_xlfn._xlws.FILTER(parameter_tab[],(parameter_tab[parameter]=tool!C12)*(parameter_tab[metric]=tool!E12)),4)</f>
        <v>6.2427908781459987E-5</v>
      </c>
      <c r="N11">
        <v>0.01</v>
      </c>
      <c r="P11" t="s">
        <v>205</v>
      </c>
    </row>
    <row r="12" spans="1:16" x14ac:dyDescent="0.3">
      <c r="A12">
        <v>311</v>
      </c>
      <c r="B12" s="92" t="s">
        <v>206</v>
      </c>
      <c r="D12" t="s">
        <v>207</v>
      </c>
      <c r="E12" t="s">
        <v>208</v>
      </c>
      <c r="F12" t="s">
        <v>209</v>
      </c>
      <c r="G12">
        <v>1</v>
      </c>
      <c r="I12" s="9" t="str">
        <v>Qtotal</v>
      </c>
      <c r="J12" s="9" t="str">
        <v>Load</v>
      </c>
      <c r="K12" s="9"/>
      <c r="L12" s="9"/>
      <c r="N12">
        <v>0.05</v>
      </c>
      <c r="P12" t="s">
        <v>210</v>
      </c>
    </row>
    <row r="13" spans="1:16" x14ac:dyDescent="0.3">
      <c r="A13">
        <v>313</v>
      </c>
      <c r="B13" s="91" t="s">
        <v>211</v>
      </c>
      <c r="D13" t="s">
        <v>207</v>
      </c>
      <c r="E13" t="s">
        <v>212</v>
      </c>
      <c r="F13" t="s">
        <v>213</v>
      </c>
      <c r="G13">
        <f>12/43560</f>
        <v>2.7548209366391182E-4</v>
      </c>
      <c r="I13" s="9" t="str">
        <v>Total N</v>
      </c>
      <c r="J13" s="9" t="str">
        <v>Yield</v>
      </c>
      <c r="K13" s="9"/>
      <c r="L13" s="9"/>
      <c r="N13">
        <v>0.1</v>
      </c>
    </row>
    <row r="14" spans="1:16" x14ac:dyDescent="0.3">
      <c r="A14">
        <v>314</v>
      </c>
      <c r="B14" s="92" t="s">
        <v>214</v>
      </c>
      <c r="D14" t="s">
        <v>215</v>
      </c>
      <c r="E14" t="s">
        <v>216</v>
      </c>
      <c r="F14" t="s">
        <v>217</v>
      </c>
      <c r="G14">
        <v>1</v>
      </c>
      <c r="I14" s="9" t="str">
        <v>NH4</v>
      </c>
      <c r="J14" s="9"/>
      <c r="K14" s="9"/>
      <c r="L14" s="9"/>
    </row>
    <row r="15" spans="1:16" x14ac:dyDescent="0.3">
      <c r="A15">
        <v>315</v>
      </c>
      <c r="B15" s="91" t="s">
        <v>218</v>
      </c>
      <c r="D15" t="s">
        <v>215</v>
      </c>
      <c r="E15" t="s">
        <v>219</v>
      </c>
      <c r="F15" t="s">
        <v>220</v>
      </c>
      <c r="G15">
        <f>28.3168/453592</f>
        <v>6.2427908781459987E-5</v>
      </c>
      <c r="I15" s="9" t="str">
        <v>NO3+NO2</v>
      </c>
      <c r="J15" s="9"/>
      <c r="K15" s="9"/>
      <c r="L15" s="9"/>
    </row>
    <row r="16" spans="1:16" x14ac:dyDescent="0.3">
      <c r="A16">
        <v>316</v>
      </c>
      <c r="B16" s="92" t="s">
        <v>221</v>
      </c>
      <c r="D16" t="s">
        <v>215</v>
      </c>
      <c r="E16" t="s">
        <v>222</v>
      </c>
      <c r="F16" t="s">
        <v>223</v>
      </c>
      <c r="G16">
        <f>28.3168/453592</f>
        <v>6.2427908781459987E-5</v>
      </c>
      <c r="I16" s="9" t="str">
        <v>TKN</v>
      </c>
      <c r="J16" s="9"/>
      <c r="K16" s="9"/>
      <c r="L16" s="9"/>
    </row>
    <row r="17" spans="1:12" x14ac:dyDescent="0.3">
      <c r="A17">
        <v>317</v>
      </c>
      <c r="B17" s="91" t="s">
        <v>224</v>
      </c>
      <c r="D17" t="s">
        <v>225</v>
      </c>
      <c r="E17" t="s">
        <v>216</v>
      </c>
      <c r="F17" t="s">
        <v>217</v>
      </c>
      <c r="G17">
        <v>1</v>
      </c>
      <c r="I17" s="9" t="str">
        <v>Total P</v>
      </c>
      <c r="J17" s="9"/>
      <c r="K17" s="9"/>
      <c r="L17" s="9"/>
    </row>
    <row r="18" spans="1:12" x14ac:dyDescent="0.3">
      <c r="A18">
        <v>318</v>
      </c>
      <c r="B18" s="92" t="s">
        <v>226</v>
      </c>
      <c r="D18" t="s">
        <v>225</v>
      </c>
      <c r="E18" t="s">
        <v>219</v>
      </c>
      <c r="F18" t="s">
        <v>220</v>
      </c>
      <c r="G18">
        <f>28.3168/453592</f>
        <v>6.2427908781459987E-5</v>
      </c>
      <c r="I18" s="9" t="str">
        <v>DRP</v>
      </c>
      <c r="J18" s="9"/>
      <c r="K18" s="9"/>
      <c r="L18" s="9"/>
    </row>
    <row r="19" spans="1:12" x14ac:dyDescent="0.3">
      <c r="A19">
        <v>319</v>
      </c>
      <c r="B19" s="91" t="s">
        <v>227</v>
      </c>
      <c r="D19" t="s">
        <v>225</v>
      </c>
      <c r="E19" t="s">
        <v>222</v>
      </c>
      <c r="F19" t="s">
        <v>223</v>
      </c>
      <c r="G19">
        <f>28.3168/453592</f>
        <v>6.2427908781459987E-5</v>
      </c>
      <c r="I19" s="9" t="str">
        <v>TSS</v>
      </c>
      <c r="J19" s="9"/>
      <c r="K19" s="9"/>
      <c r="L19" s="9"/>
    </row>
    <row r="20" spans="1:12" x14ac:dyDescent="0.3">
      <c r="A20">
        <v>320</v>
      </c>
      <c r="B20" s="92" t="s">
        <v>228</v>
      </c>
      <c r="D20" t="s">
        <v>229</v>
      </c>
      <c r="E20" t="s">
        <v>216</v>
      </c>
      <c r="F20" t="s">
        <v>217</v>
      </c>
      <c r="G20">
        <v>1</v>
      </c>
    </row>
    <row r="21" spans="1:12" x14ac:dyDescent="0.3">
      <c r="A21">
        <v>324</v>
      </c>
      <c r="B21" s="91" t="s">
        <v>230</v>
      </c>
      <c r="D21" t="s">
        <v>229</v>
      </c>
      <c r="E21" t="s">
        <v>219</v>
      </c>
      <c r="F21" t="s">
        <v>220</v>
      </c>
      <c r="G21">
        <f>28.3168/453592</f>
        <v>6.2427908781459987E-5</v>
      </c>
    </row>
    <row r="22" spans="1:12" x14ac:dyDescent="0.3">
      <c r="A22">
        <v>325</v>
      </c>
      <c r="B22" s="92" t="s">
        <v>231</v>
      </c>
      <c r="D22" t="s">
        <v>229</v>
      </c>
      <c r="E22" t="s">
        <v>222</v>
      </c>
      <c r="F22" t="s">
        <v>223</v>
      </c>
      <c r="G22">
        <f>28.3168/453592</f>
        <v>6.2427908781459987E-5</v>
      </c>
    </row>
    <row r="23" spans="1:12" x14ac:dyDescent="0.3">
      <c r="A23">
        <v>326</v>
      </c>
      <c r="B23" s="91" t="s">
        <v>232</v>
      </c>
      <c r="D23" t="s">
        <v>233</v>
      </c>
      <c r="E23" t="s">
        <v>216</v>
      </c>
      <c r="F23" t="s">
        <v>217</v>
      </c>
      <c r="G23">
        <v>1</v>
      </c>
    </row>
    <row r="24" spans="1:12" x14ac:dyDescent="0.3">
      <c r="A24">
        <v>327</v>
      </c>
      <c r="B24" s="92" t="s">
        <v>234</v>
      </c>
      <c r="D24" t="s">
        <v>233</v>
      </c>
      <c r="E24" t="s">
        <v>219</v>
      </c>
      <c r="F24" t="s">
        <v>220</v>
      </c>
      <c r="G24">
        <f>28.3168/453592</f>
        <v>6.2427908781459987E-5</v>
      </c>
    </row>
    <row r="25" spans="1:12" x14ac:dyDescent="0.3">
      <c r="A25">
        <v>328</v>
      </c>
      <c r="B25" s="91" t="s">
        <v>235</v>
      </c>
      <c r="D25" t="s">
        <v>233</v>
      </c>
      <c r="E25" t="s">
        <v>222</v>
      </c>
      <c r="F25" t="s">
        <v>223</v>
      </c>
      <c r="G25">
        <f>28.3168/453592</f>
        <v>6.2427908781459987E-5</v>
      </c>
    </row>
    <row r="26" spans="1:12" x14ac:dyDescent="0.3">
      <c r="A26">
        <v>329</v>
      </c>
      <c r="B26" s="92" t="s">
        <v>236</v>
      </c>
      <c r="D26" t="s">
        <v>237</v>
      </c>
      <c r="E26" t="s">
        <v>216</v>
      </c>
      <c r="F26" t="s">
        <v>217</v>
      </c>
      <c r="G26">
        <v>1</v>
      </c>
    </row>
    <row r="27" spans="1:12" x14ac:dyDescent="0.3">
      <c r="A27">
        <v>330</v>
      </c>
      <c r="B27" s="91" t="s">
        <v>238</v>
      </c>
      <c r="D27" t="s">
        <v>237</v>
      </c>
      <c r="E27" t="s">
        <v>219</v>
      </c>
      <c r="F27" t="s">
        <v>220</v>
      </c>
      <c r="G27">
        <f>28.3168/453592</f>
        <v>6.2427908781459987E-5</v>
      </c>
    </row>
    <row r="28" spans="1:12" x14ac:dyDescent="0.3">
      <c r="A28">
        <v>331</v>
      </c>
      <c r="B28" s="92" t="s">
        <v>239</v>
      </c>
      <c r="D28" t="s">
        <v>237</v>
      </c>
      <c r="E28" t="s">
        <v>222</v>
      </c>
      <c r="F28" t="s">
        <v>223</v>
      </c>
      <c r="G28">
        <f>28.3168/453592</f>
        <v>6.2427908781459987E-5</v>
      </c>
    </row>
    <row r="29" spans="1:12" x14ac:dyDescent="0.3">
      <c r="A29">
        <v>332</v>
      </c>
      <c r="B29" s="91" t="s">
        <v>240</v>
      </c>
      <c r="D29" t="s">
        <v>241</v>
      </c>
      <c r="E29" t="s">
        <v>216</v>
      </c>
      <c r="F29" t="s">
        <v>217</v>
      </c>
      <c r="G29">
        <v>1</v>
      </c>
    </row>
    <row r="30" spans="1:12" x14ac:dyDescent="0.3">
      <c r="A30">
        <v>333</v>
      </c>
      <c r="B30" s="92" t="s">
        <v>242</v>
      </c>
      <c r="D30" t="s">
        <v>241</v>
      </c>
      <c r="E30" t="s">
        <v>219</v>
      </c>
      <c r="F30" t="s">
        <v>220</v>
      </c>
      <c r="G30">
        <f>28.3168/453592</f>
        <v>6.2427908781459987E-5</v>
      </c>
    </row>
    <row r="31" spans="1:12" x14ac:dyDescent="0.3">
      <c r="A31">
        <v>334</v>
      </c>
      <c r="B31" s="91" t="s">
        <v>243</v>
      </c>
      <c r="D31" t="s">
        <v>241</v>
      </c>
      <c r="E31" t="s">
        <v>222</v>
      </c>
      <c r="F31" t="s">
        <v>223</v>
      </c>
      <c r="G31">
        <f>28.3168/453592</f>
        <v>6.2427908781459987E-5</v>
      </c>
    </row>
    <row r="32" spans="1:12" x14ac:dyDescent="0.3">
      <c r="A32">
        <v>338</v>
      </c>
      <c r="B32" s="92" t="s">
        <v>244</v>
      </c>
      <c r="D32" t="s">
        <v>245</v>
      </c>
      <c r="E32" t="s">
        <v>216</v>
      </c>
      <c r="F32" t="s">
        <v>217</v>
      </c>
      <c r="G32">
        <v>1</v>
      </c>
    </row>
    <row r="33" spans="1:7" x14ac:dyDescent="0.3">
      <c r="A33">
        <v>340</v>
      </c>
      <c r="B33" s="91" t="s">
        <v>246</v>
      </c>
      <c r="D33" t="s">
        <v>245</v>
      </c>
      <c r="E33" t="s">
        <v>219</v>
      </c>
      <c r="F33" t="s">
        <v>220</v>
      </c>
      <c r="G33">
        <f>28.3168/453592</f>
        <v>6.2427908781459987E-5</v>
      </c>
    </row>
    <row r="34" spans="1:7" x14ac:dyDescent="0.3">
      <c r="A34">
        <v>342</v>
      </c>
      <c r="B34" s="92" t="s">
        <v>247</v>
      </c>
      <c r="D34" t="s">
        <v>245</v>
      </c>
      <c r="E34" t="s">
        <v>222</v>
      </c>
      <c r="F34" t="s">
        <v>223</v>
      </c>
      <c r="G34">
        <f>28.3168/453592</f>
        <v>6.2427908781459987E-5</v>
      </c>
    </row>
    <row r="35" spans="1:7" x14ac:dyDescent="0.3">
      <c r="A35">
        <v>345</v>
      </c>
      <c r="B35" s="91" t="s">
        <v>248</v>
      </c>
    </row>
    <row r="36" spans="1:7" x14ac:dyDescent="0.3">
      <c r="A36">
        <v>348</v>
      </c>
      <c r="B36" s="92" t="s">
        <v>249</v>
      </c>
    </row>
    <row r="37" spans="1:7" x14ac:dyDescent="0.3">
      <c r="A37">
        <v>350</v>
      </c>
      <c r="B37" s="91" t="s">
        <v>250</v>
      </c>
    </row>
    <row r="38" spans="1:7" x14ac:dyDescent="0.3">
      <c r="A38">
        <v>351</v>
      </c>
      <c r="B38" s="92" t="s">
        <v>251</v>
      </c>
    </row>
    <row r="39" spans="1:7" x14ac:dyDescent="0.3">
      <c r="A39">
        <v>356</v>
      </c>
      <c r="B39" s="91" t="s">
        <v>252</v>
      </c>
    </row>
    <row r="40" spans="1:7" x14ac:dyDescent="0.3">
      <c r="A40">
        <v>359</v>
      </c>
      <c r="B40" s="92" t="s">
        <v>253</v>
      </c>
    </row>
    <row r="41" spans="1:7" x14ac:dyDescent="0.3">
      <c r="A41">
        <v>360</v>
      </c>
      <c r="B41" s="91" t="s">
        <v>254</v>
      </c>
    </row>
    <row r="42" spans="1:7" x14ac:dyDescent="0.3">
      <c r="A42">
        <v>362</v>
      </c>
      <c r="B42" s="92" t="s">
        <v>255</v>
      </c>
    </row>
    <row r="43" spans="1:7" x14ac:dyDescent="0.3">
      <c r="A43">
        <v>366</v>
      </c>
      <c r="B43" s="91" t="s">
        <v>256</v>
      </c>
    </row>
    <row r="44" spans="1:7" x14ac:dyDescent="0.3">
      <c r="A44">
        <v>367</v>
      </c>
      <c r="B44" s="92" t="s">
        <v>257</v>
      </c>
    </row>
    <row r="45" spans="1:7" x14ac:dyDescent="0.3">
      <c r="A45">
        <v>368</v>
      </c>
      <c r="B45" s="91" t="s">
        <v>258</v>
      </c>
    </row>
    <row r="46" spans="1:7" x14ac:dyDescent="0.3">
      <c r="A46">
        <v>371</v>
      </c>
      <c r="B46" s="92" t="s">
        <v>259</v>
      </c>
    </row>
    <row r="47" spans="1:7" x14ac:dyDescent="0.3">
      <c r="A47">
        <v>372</v>
      </c>
      <c r="B47" s="91" t="s">
        <v>260</v>
      </c>
    </row>
    <row r="48" spans="1:7" x14ac:dyDescent="0.3">
      <c r="A48">
        <v>373</v>
      </c>
      <c r="B48" s="92" t="s">
        <v>261</v>
      </c>
    </row>
    <row r="49" spans="1:2" x14ac:dyDescent="0.3">
      <c r="A49">
        <v>374</v>
      </c>
      <c r="B49" s="91" t="s">
        <v>262</v>
      </c>
    </row>
    <row r="50" spans="1:2" x14ac:dyDescent="0.3">
      <c r="A50">
        <v>375</v>
      </c>
      <c r="B50" s="92" t="s">
        <v>263</v>
      </c>
    </row>
    <row r="51" spans="1:2" x14ac:dyDescent="0.3">
      <c r="A51">
        <v>376</v>
      </c>
      <c r="B51" s="91" t="s">
        <v>264</v>
      </c>
    </row>
    <row r="52" spans="1:2" x14ac:dyDescent="0.3">
      <c r="A52">
        <v>378</v>
      </c>
      <c r="B52" s="92" t="s">
        <v>265</v>
      </c>
    </row>
    <row r="53" spans="1:2" x14ac:dyDescent="0.3">
      <c r="A53">
        <v>379</v>
      </c>
      <c r="B53" s="91" t="s">
        <v>266</v>
      </c>
    </row>
    <row r="54" spans="1:2" x14ac:dyDescent="0.3">
      <c r="A54">
        <v>380</v>
      </c>
      <c r="B54" s="92" t="s">
        <v>267</v>
      </c>
    </row>
    <row r="55" spans="1:2" x14ac:dyDescent="0.3">
      <c r="A55">
        <v>381</v>
      </c>
      <c r="B55" s="91" t="s">
        <v>268</v>
      </c>
    </row>
    <row r="56" spans="1:2" x14ac:dyDescent="0.3">
      <c r="A56">
        <v>382</v>
      </c>
      <c r="B56" s="92" t="s">
        <v>269</v>
      </c>
    </row>
    <row r="57" spans="1:2" x14ac:dyDescent="0.3">
      <c r="A57">
        <v>383</v>
      </c>
      <c r="B57" s="91" t="s">
        <v>270</v>
      </c>
    </row>
    <row r="58" spans="1:2" x14ac:dyDescent="0.3">
      <c r="A58">
        <v>384</v>
      </c>
      <c r="B58" s="92" t="s">
        <v>271</v>
      </c>
    </row>
    <row r="59" spans="1:2" x14ac:dyDescent="0.3">
      <c r="A59">
        <v>386</v>
      </c>
      <c r="B59" s="91" t="s">
        <v>272</v>
      </c>
    </row>
    <row r="60" spans="1:2" x14ac:dyDescent="0.3">
      <c r="A60">
        <v>388</v>
      </c>
      <c r="B60" s="92" t="s">
        <v>273</v>
      </c>
    </row>
    <row r="61" spans="1:2" x14ac:dyDescent="0.3">
      <c r="A61">
        <v>390</v>
      </c>
      <c r="B61" s="91" t="s">
        <v>274</v>
      </c>
    </row>
    <row r="62" spans="1:2" x14ac:dyDescent="0.3">
      <c r="A62">
        <v>391</v>
      </c>
      <c r="B62" s="92" t="s">
        <v>275</v>
      </c>
    </row>
    <row r="63" spans="1:2" x14ac:dyDescent="0.3">
      <c r="A63">
        <v>393</v>
      </c>
      <c r="B63" s="91" t="s">
        <v>276</v>
      </c>
    </row>
    <row r="64" spans="1:2" x14ac:dyDescent="0.3">
      <c r="A64">
        <v>394</v>
      </c>
      <c r="B64" s="92" t="s">
        <v>277</v>
      </c>
    </row>
    <row r="65" spans="1:2" x14ac:dyDescent="0.3">
      <c r="A65">
        <v>395</v>
      </c>
      <c r="B65" s="91" t="s">
        <v>278</v>
      </c>
    </row>
    <row r="66" spans="1:2" x14ac:dyDescent="0.3">
      <c r="A66">
        <v>396</v>
      </c>
      <c r="B66" s="92" t="s">
        <v>279</v>
      </c>
    </row>
    <row r="67" spans="1:2" x14ac:dyDescent="0.3">
      <c r="A67">
        <v>397</v>
      </c>
      <c r="B67" s="91" t="s">
        <v>280</v>
      </c>
    </row>
    <row r="68" spans="1:2" x14ac:dyDescent="0.3">
      <c r="A68">
        <v>398</v>
      </c>
      <c r="B68" s="92" t="s">
        <v>281</v>
      </c>
    </row>
    <row r="69" spans="1:2" x14ac:dyDescent="0.3">
      <c r="A69">
        <v>399</v>
      </c>
      <c r="B69" s="91" t="s">
        <v>282</v>
      </c>
    </row>
    <row r="70" spans="1:2" x14ac:dyDescent="0.3">
      <c r="A70">
        <v>400</v>
      </c>
      <c r="B70" s="92" t="s">
        <v>283</v>
      </c>
    </row>
    <row r="71" spans="1:2" x14ac:dyDescent="0.3">
      <c r="A71">
        <v>402</v>
      </c>
      <c r="B71" s="91" t="s">
        <v>284</v>
      </c>
    </row>
    <row r="72" spans="1:2" x14ac:dyDescent="0.3">
      <c r="A72">
        <v>410</v>
      </c>
      <c r="B72" s="92" t="s">
        <v>285</v>
      </c>
    </row>
    <row r="73" spans="1:2" x14ac:dyDescent="0.3">
      <c r="A73">
        <v>412</v>
      </c>
      <c r="B73" s="91" t="s">
        <v>286</v>
      </c>
    </row>
    <row r="74" spans="1:2" x14ac:dyDescent="0.3">
      <c r="A74">
        <v>420</v>
      </c>
      <c r="B74" s="92" t="s">
        <v>287</v>
      </c>
    </row>
    <row r="75" spans="1:2" x14ac:dyDescent="0.3">
      <c r="A75">
        <v>422</v>
      </c>
      <c r="B75" s="91" t="s">
        <v>288</v>
      </c>
    </row>
    <row r="76" spans="1:2" x14ac:dyDescent="0.3">
      <c r="A76">
        <v>423</v>
      </c>
      <c r="B76" s="92" t="s">
        <v>289</v>
      </c>
    </row>
    <row r="77" spans="1:2" x14ac:dyDescent="0.3">
      <c r="A77">
        <v>428</v>
      </c>
      <c r="B77" s="91" t="s">
        <v>290</v>
      </c>
    </row>
    <row r="78" spans="1:2" x14ac:dyDescent="0.3">
      <c r="A78">
        <v>430</v>
      </c>
      <c r="B78" s="92" t="s">
        <v>291</v>
      </c>
    </row>
    <row r="79" spans="1:2" x14ac:dyDescent="0.3">
      <c r="A79">
        <v>432</v>
      </c>
      <c r="B79" s="91" t="s">
        <v>292</v>
      </c>
    </row>
    <row r="80" spans="1:2" x14ac:dyDescent="0.3">
      <c r="A80">
        <v>436</v>
      </c>
      <c r="B80" s="92" t="s">
        <v>293</v>
      </c>
    </row>
    <row r="81" spans="1:2" x14ac:dyDescent="0.3">
      <c r="A81">
        <v>441</v>
      </c>
      <c r="B81" s="91" t="s">
        <v>294</v>
      </c>
    </row>
    <row r="82" spans="1:2" x14ac:dyDescent="0.3">
      <c r="A82">
        <v>442</v>
      </c>
      <c r="B82" s="92" t="s">
        <v>295</v>
      </c>
    </row>
    <row r="83" spans="1:2" x14ac:dyDescent="0.3">
      <c r="A83">
        <v>443</v>
      </c>
      <c r="B83" s="91" t="s">
        <v>296</v>
      </c>
    </row>
    <row r="84" spans="1:2" x14ac:dyDescent="0.3">
      <c r="A84">
        <v>447</v>
      </c>
      <c r="B84" s="92" t="s">
        <v>297</v>
      </c>
    </row>
    <row r="85" spans="1:2" x14ac:dyDescent="0.3">
      <c r="A85">
        <v>449</v>
      </c>
      <c r="B85" s="91" t="s">
        <v>298</v>
      </c>
    </row>
    <row r="86" spans="1:2" x14ac:dyDescent="0.3">
      <c r="A86">
        <v>450</v>
      </c>
      <c r="B86" s="92" t="s">
        <v>299</v>
      </c>
    </row>
    <row r="87" spans="1:2" x14ac:dyDescent="0.3">
      <c r="A87">
        <v>453</v>
      </c>
      <c r="B87" s="91" t="s">
        <v>300</v>
      </c>
    </row>
    <row r="88" spans="1:2" x14ac:dyDescent="0.3">
      <c r="A88">
        <v>455</v>
      </c>
      <c r="B88" s="92" t="s">
        <v>301</v>
      </c>
    </row>
    <row r="89" spans="1:2" x14ac:dyDescent="0.3">
      <c r="A89">
        <v>457</v>
      </c>
      <c r="B89" s="91" t="s">
        <v>302</v>
      </c>
    </row>
    <row r="90" spans="1:2" x14ac:dyDescent="0.3">
      <c r="A90">
        <v>460</v>
      </c>
      <c r="B90" s="92" t="s">
        <v>303</v>
      </c>
    </row>
    <row r="91" spans="1:2" x14ac:dyDescent="0.3">
      <c r="A91">
        <v>462</v>
      </c>
      <c r="B91" s="91" t="s">
        <v>304</v>
      </c>
    </row>
    <row r="92" spans="1:2" x14ac:dyDescent="0.3">
      <c r="A92">
        <v>464</v>
      </c>
      <c r="B92" s="92" t="s">
        <v>305</v>
      </c>
    </row>
    <row r="93" spans="1:2" x14ac:dyDescent="0.3">
      <c r="A93">
        <v>468</v>
      </c>
      <c r="B93" s="91" t="s">
        <v>306</v>
      </c>
    </row>
    <row r="94" spans="1:2" x14ac:dyDescent="0.3">
      <c r="A94">
        <v>472</v>
      </c>
      <c r="B94" s="92" t="s">
        <v>307</v>
      </c>
    </row>
    <row r="95" spans="1:2" x14ac:dyDescent="0.3">
      <c r="A95">
        <v>484</v>
      </c>
      <c r="B95" s="91" t="s">
        <v>308</v>
      </c>
    </row>
    <row r="96" spans="1:2" x14ac:dyDescent="0.3">
      <c r="A96">
        <v>490</v>
      </c>
      <c r="B96" s="92" t="s">
        <v>309</v>
      </c>
    </row>
    <row r="97" spans="1:2" x14ac:dyDescent="0.3">
      <c r="A97">
        <v>500</v>
      </c>
      <c r="B97" s="91" t="s">
        <v>310</v>
      </c>
    </row>
    <row r="98" spans="1:2" x14ac:dyDescent="0.3">
      <c r="A98">
        <v>511</v>
      </c>
      <c r="B98" s="92" t="s">
        <v>311</v>
      </c>
    </row>
    <row r="99" spans="1:2" x14ac:dyDescent="0.3">
      <c r="A99">
        <v>512</v>
      </c>
      <c r="B99" s="91" t="s">
        <v>312</v>
      </c>
    </row>
    <row r="100" spans="1:2" x14ac:dyDescent="0.3">
      <c r="A100">
        <v>516</v>
      </c>
      <c r="B100" s="92" t="s">
        <v>313</v>
      </c>
    </row>
    <row r="101" spans="1:2" x14ac:dyDescent="0.3">
      <c r="A101">
        <v>520</v>
      </c>
      <c r="B101" s="91" t="s">
        <v>314</v>
      </c>
    </row>
    <row r="102" spans="1:2" x14ac:dyDescent="0.3">
      <c r="A102">
        <v>521</v>
      </c>
      <c r="B102" s="92" t="s">
        <v>315</v>
      </c>
    </row>
    <row r="103" spans="1:2" x14ac:dyDescent="0.3">
      <c r="A103">
        <v>522</v>
      </c>
      <c r="B103" s="91" t="s">
        <v>316</v>
      </c>
    </row>
    <row r="104" spans="1:2" x14ac:dyDescent="0.3">
      <c r="A104">
        <v>527</v>
      </c>
      <c r="B104" s="92" t="s">
        <v>317</v>
      </c>
    </row>
    <row r="105" spans="1:2" x14ac:dyDescent="0.3">
      <c r="A105">
        <v>528</v>
      </c>
      <c r="B105" s="91" t="s">
        <v>318</v>
      </c>
    </row>
    <row r="106" spans="1:2" x14ac:dyDescent="0.3">
      <c r="A106">
        <v>533</v>
      </c>
      <c r="B106" s="92" t="s">
        <v>319</v>
      </c>
    </row>
    <row r="107" spans="1:2" x14ac:dyDescent="0.3">
      <c r="A107">
        <v>543</v>
      </c>
      <c r="B107" s="91" t="s">
        <v>320</v>
      </c>
    </row>
    <row r="108" spans="1:2" x14ac:dyDescent="0.3">
      <c r="A108">
        <v>544</v>
      </c>
      <c r="B108" s="92" t="s">
        <v>321</v>
      </c>
    </row>
    <row r="109" spans="1:2" x14ac:dyDescent="0.3">
      <c r="A109">
        <v>548</v>
      </c>
      <c r="B109" s="91" t="s">
        <v>322</v>
      </c>
    </row>
    <row r="110" spans="1:2" x14ac:dyDescent="0.3">
      <c r="A110">
        <v>550</v>
      </c>
      <c r="B110" s="92" t="s">
        <v>323</v>
      </c>
    </row>
    <row r="111" spans="1:2" x14ac:dyDescent="0.3">
      <c r="A111">
        <v>554</v>
      </c>
      <c r="B111" s="91" t="s">
        <v>324</v>
      </c>
    </row>
    <row r="112" spans="1:2" x14ac:dyDescent="0.3">
      <c r="A112">
        <v>555</v>
      </c>
      <c r="B112" s="92" t="s">
        <v>325</v>
      </c>
    </row>
    <row r="113" spans="1:2" x14ac:dyDescent="0.3">
      <c r="A113">
        <v>557</v>
      </c>
      <c r="B113" s="91" t="s">
        <v>326</v>
      </c>
    </row>
    <row r="114" spans="1:2" x14ac:dyDescent="0.3">
      <c r="A114">
        <v>558</v>
      </c>
      <c r="B114" s="92" t="s">
        <v>327</v>
      </c>
    </row>
    <row r="115" spans="1:2" x14ac:dyDescent="0.3">
      <c r="A115">
        <v>560</v>
      </c>
      <c r="B115" s="91" t="s">
        <v>328</v>
      </c>
    </row>
    <row r="116" spans="1:2" x14ac:dyDescent="0.3">
      <c r="A116">
        <v>561</v>
      </c>
      <c r="B116" s="92" t="s">
        <v>329</v>
      </c>
    </row>
    <row r="117" spans="1:2" x14ac:dyDescent="0.3">
      <c r="A117">
        <v>562</v>
      </c>
      <c r="B117" s="91" t="s">
        <v>330</v>
      </c>
    </row>
    <row r="118" spans="1:2" x14ac:dyDescent="0.3">
      <c r="A118">
        <v>570</v>
      </c>
      <c r="B118" s="92" t="s">
        <v>331</v>
      </c>
    </row>
    <row r="119" spans="1:2" x14ac:dyDescent="0.3">
      <c r="A119">
        <v>572</v>
      </c>
      <c r="B119" s="91" t="s">
        <v>332</v>
      </c>
    </row>
    <row r="120" spans="1:2" x14ac:dyDescent="0.3">
      <c r="A120">
        <v>574</v>
      </c>
      <c r="B120" s="92" t="s">
        <v>333</v>
      </c>
    </row>
    <row r="121" spans="1:2" x14ac:dyDescent="0.3">
      <c r="A121">
        <v>575</v>
      </c>
      <c r="B121" s="91" t="s">
        <v>334</v>
      </c>
    </row>
    <row r="122" spans="1:2" x14ac:dyDescent="0.3">
      <c r="A122">
        <v>576</v>
      </c>
      <c r="B122" s="92" t="s">
        <v>335</v>
      </c>
    </row>
    <row r="123" spans="1:2" x14ac:dyDescent="0.3">
      <c r="A123">
        <v>580</v>
      </c>
      <c r="B123" s="91" t="s">
        <v>336</v>
      </c>
    </row>
    <row r="124" spans="1:2" x14ac:dyDescent="0.3">
      <c r="A124">
        <v>582</v>
      </c>
      <c r="B124" s="92" t="s">
        <v>337</v>
      </c>
    </row>
    <row r="125" spans="1:2" x14ac:dyDescent="0.3">
      <c r="A125">
        <v>584</v>
      </c>
      <c r="B125" s="91" t="s">
        <v>338</v>
      </c>
    </row>
    <row r="126" spans="1:2" x14ac:dyDescent="0.3">
      <c r="A126">
        <v>585</v>
      </c>
      <c r="B126" s="92" t="s">
        <v>339</v>
      </c>
    </row>
    <row r="127" spans="1:2" x14ac:dyDescent="0.3">
      <c r="A127">
        <v>587</v>
      </c>
      <c r="B127" s="91" t="s">
        <v>340</v>
      </c>
    </row>
    <row r="128" spans="1:2" x14ac:dyDescent="0.3">
      <c r="A128">
        <v>588</v>
      </c>
      <c r="B128" s="92" t="s">
        <v>341</v>
      </c>
    </row>
    <row r="129" spans="1:2" x14ac:dyDescent="0.3">
      <c r="A129">
        <v>589</v>
      </c>
      <c r="B129" s="91" t="s">
        <v>342</v>
      </c>
    </row>
    <row r="130" spans="1:2" x14ac:dyDescent="0.3">
      <c r="A130">
        <v>590</v>
      </c>
      <c r="B130" s="92" t="s">
        <v>343</v>
      </c>
    </row>
    <row r="131" spans="1:2" x14ac:dyDescent="0.3">
      <c r="A131">
        <v>591</v>
      </c>
      <c r="B131" s="91" t="s">
        <v>344</v>
      </c>
    </row>
    <row r="132" spans="1:2" x14ac:dyDescent="0.3">
      <c r="A132">
        <v>592</v>
      </c>
      <c r="B132" s="92" t="s">
        <v>345</v>
      </c>
    </row>
    <row r="133" spans="1:2" x14ac:dyDescent="0.3">
      <c r="A133">
        <v>595</v>
      </c>
      <c r="B133" s="91" t="s">
        <v>346</v>
      </c>
    </row>
    <row r="134" spans="1:2" x14ac:dyDescent="0.3">
      <c r="A134">
        <v>600</v>
      </c>
      <c r="B134" s="92" t="s">
        <v>347</v>
      </c>
    </row>
    <row r="135" spans="1:2" x14ac:dyDescent="0.3">
      <c r="A135">
        <v>601</v>
      </c>
      <c r="B135" s="91" t="s">
        <v>348</v>
      </c>
    </row>
    <row r="136" spans="1:2" x14ac:dyDescent="0.3">
      <c r="A136">
        <v>603</v>
      </c>
      <c r="B136" s="92" t="s">
        <v>349</v>
      </c>
    </row>
    <row r="137" spans="1:2" x14ac:dyDescent="0.3">
      <c r="A137">
        <v>604</v>
      </c>
      <c r="B137" s="91" t="s">
        <v>350</v>
      </c>
    </row>
    <row r="138" spans="1:2" x14ac:dyDescent="0.3">
      <c r="A138">
        <v>605</v>
      </c>
      <c r="B138" s="92" t="s">
        <v>351</v>
      </c>
    </row>
    <row r="139" spans="1:2" x14ac:dyDescent="0.3">
      <c r="A139">
        <v>606</v>
      </c>
      <c r="B139" s="91" t="s">
        <v>352</v>
      </c>
    </row>
    <row r="140" spans="1:2" x14ac:dyDescent="0.3">
      <c r="A140">
        <v>607</v>
      </c>
      <c r="B140" s="92" t="s">
        <v>353</v>
      </c>
    </row>
    <row r="141" spans="1:2" x14ac:dyDescent="0.3">
      <c r="A141">
        <v>608</v>
      </c>
      <c r="B141" s="91" t="s">
        <v>354</v>
      </c>
    </row>
    <row r="142" spans="1:2" x14ac:dyDescent="0.3">
      <c r="A142">
        <v>609</v>
      </c>
      <c r="B142" s="92" t="s">
        <v>355</v>
      </c>
    </row>
    <row r="143" spans="1:2" x14ac:dyDescent="0.3">
      <c r="A143">
        <v>610</v>
      </c>
      <c r="B143" s="91" t="s">
        <v>356</v>
      </c>
    </row>
    <row r="144" spans="1:2" x14ac:dyDescent="0.3">
      <c r="A144">
        <v>612</v>
      </c>
      <c r="B144" s="92" t="s">
        <v>357</v>
      </c>
    </row>
    <row r="145" spans="1:2" x14ac:dyDescent="0.3">
      <c r="A145">
        <v>614</v>
      </c>
      <c r="B145" s="91" t="s">
        <v>358</v>
      </c>
    </row>
    <row r="146" spans="1:2" x14ac:dyDescent="0.3">
      <c r="A146">
        <v>620</v>
      </c>
      <c r="B146" s="92" t="s">
        <v>359</v>
      </c>
    </row>
    <row r="147" spans="1:2" x14ac:dyDescent="0.3">
      <c r="A147">
        <v>629</v>
      </c>
      <c r="B147" s="91" t="s">
        <v>360</v>
      </c>
    </row>
    <row r="148" spans="1:2" x14ac:dyDescent="0.3">
      <c r="A148">
        <v>630</v>
      </c>
      <c r="B148" s="92" t="s">
        <v>361</v>
      </c>
    </row>
    <row r="149" spans="1:2" x14ac:dyDescent="0.3">
      <c r="A149">
        <v>632</v>
      </c>
      <c r="B149" s="91" t="s">
        <v>362</v>
      </c>
    </row>
    <row r="150" spans="1:2" x14ac:dyDescent="0.3">
      <c r="A150">
        <v>633</v>
      </c>
      <c r="B150" s="92" t="s">
        <v>363</v>
      </c>
    </row>
    <row r="151" spans="1:2" x14ac:dyDescent="0.3">
      <c r="A151">
        <v>634</v>
      </c>
      <c r="B151" s="91" t="s">
        <v>364</v>
      </c>
    </row>
    <row r="152" spans="1:2" x14ac:dyDescent="0.3">
      <c r="A152">
        <v>635</v>
      </c>
      <c r="B152" s="92" t="s">
        <v>365</v>
      </c>
    </row>
    <row r="153" spans="1:2" x14ac:dyDescent="0.3">
      <c r="A153">
        <v>636</v>
      </c>
      <c r="B153" s="91" t="s">
        <v>366</v>
      </c>
    </row>
    <row r="154" spans="1:2" x14ac:dyDescent="0.3">
      <c r="A154">
        <v>638</v>
      </c>
      <c r="B154" s="92" t="s">
        <v>367</v>
      </c>
    </row>
    <row r="155" spans="1:2" x14ac:dyDescent="0.3">
      <c r="A155">
        <v>640</v>
      </c>
      <c r="B155" s="91" t="s">
        <v>368</v>
      </c>
    </row>
    <row r="156" spans="1:2" x14ac:dyDescent="0.3">
      <c r="A156">
        <v>642</v>
      </c>
      <c r="B156" s="92" t="s">
        <v>369</v>
      </c>
    </row>
    <row r="157" spans="1:2" x14ac:dyDescent="0.3">
      <c r="A157">
        <v>643</v>
      </c>
      <c r="B157" s="91" t="s">
        <v>370</v>
      </c>
    </row>
    <row r="158" spans="1:2" x14ac:dyDescent="0.3">
      <c r="A158">
        <v>644</v>
      </c>
      <c r="B158" s="92" t="s">
        <v>371</v>
      </c>
    </row>
    <row r="159" spans="1:2" x14ac:dyDescent="0.3">
      <c r="A159">
        <v>645</v>
      </c>
      <c r="B159" s="91" t="s">
        <v>372</v>
      </c>
    </row>
    <row r="160" spans="1:2" x14ac:dyDescent="0.3">
      <c r="A160">
        <v>646</v>
      </c>
      <c r="B160" s="92" t="s">
        <v>373</v>
      </c>
    </row>
    <row r="161" spans="1:2" x14ac:dyDescent="0.3">
      <c r="A161">
        <v>647</v>
      </c>
      <c r="B161" s="91" t="s">
        <v>374</v>
      </c>
    </row>
    <row r="162" spans="1:2" x14ac:dyDescent="0.3">
      <c r="A162">
        <v>649</v>
      </c>
      <c r="B162" s="92" t="s">
        <v>375</v>
      </c>
    </row>
    <row r="163" spans="1:2" x14ac:dyDescent="0.3">
      <c r="A163">
        <v>650</v>
      </c>
      <c r="B163" s="91" t="s">
        <v>376</v>
      </c>
    </row>
    <row r="164" spans="1:2" x14ac:dyDescent="0.3">
      <c r="A164">
        <v>654</v>
      </c>
      <c r="B164" s="92" t="s">
        <v>377</v>
      </c>
    </row>
    <row r="165" spans="1:2" x14ac:dyDescent="0.3">
      <c r="A165">
        <v>655</v>
      </c>
      <c r="B165" s="91" t="s">
        <v>378</v>
      </c>
    </row>
    <row r="166" spans="1:2" x14ac:dyDescent="0.3">
      <c r="A166">
        <v>656</v>
      </c>
      <c r="B166" s="92" t="s">
        <v>379</v>
      </c>
    </row>
    <row r="167" spans="1:2" x14ac:dyDescent="0.3">
      <c r="A167">
        <v>657</v>
      </c>
      <c r="B167" s="91" t="s">
        <v>380</v>
      </c>
    </row>
    <row r="168" spans="1:2" x14ac:dyDescent="0.3">
      <c r="A168">
        <v>658</v>
      </c>
      <c r="B168" s="92" t="s">
        <v>381</v>
      </c>
    </row>
    <row r="169" spans="1:2" x14ac:dyDescent="0.3">
      <c r="A169">
        <v>659</v>
      </c>
      <c r="B169" s="91" t="s">
        <v>382</v>
      </c>
    </row>
    <row r="170" spans="1:2" x14ac:dyDescent="0.3">
      <c r="A170">
        <v>660</v>
      </c>
      <c r="B170" s="92" t="s">
        <v>383</v>
      </c>
    </row>
    <row r="171" spans="1:2" x14ac:dyDescent="0.3">
      <c r="A171">
        <v>666</v>
      </c>
      <c r="B171" s="91" t="s">
        <v>384</v>
      </c>
    </row>
    <row r="172" spans="1:2" x14ac:dyDescent="0.3">
      <c r="A172">
        <v>670</v>
      </c>
      <c r="B172" s="92" t="s">
        <v>385</v>
      </c>
    </row>
    <row r="173" spans="1:2" x14ac:dyDescent="0.3">
      <c r="A173">
        <v>672</v>
      </c>
      <c r="B173" s="91" t="s">
        <v>386</v>
      </c>
    </row>
    <row r="174" spans="1:2" x14ac:dyDescent="0.3">
      <c r="A174">
        <v>724</v>
      </c>
      <c r="B174" s="92" t="s">
        <v>387</v>
      </c>
    </row>
    <row r="175" spans="1:2" x14ac:dyDescent="0.3">
      <c r="A175">
        <v>735</v>
      </c>
      <c r="B175" s="91" t="s">
        <v>388</v>
      </c>
    </row>
    <row r="176" spans="1:2" x14ac:dyDescent="0.3">
      <c r="A176">
        <v>736</v>
      </c>
      <c r="B176" s="92" t="s">
        <v>389</v>
      </c>
    </row>
    <row r="177" spans="1:2" x14ac:dyDescent="0.3">
      <c r="A177">
        <v>737</v>
      </c>
      <c r="B177" s="91" t="s">
        <v>390</v>
      </c>
    </row>
    <row r="178" spans="1:2" x14ac:dyDescent="0.3">
      <c r="A178">
        <v>740</v>
      </c>
      <c r="B178" s="92" t="s">
        <v>391</v>
      </c>
    </row>
    <row r="179" spans="1:2" x14ac:dyDescent="0.3">
      <c r="A179">
        <v>751</v>
      </c>
      <c r="B179" s="91" t="s">
        <v>392</v>
      </c>
    </row>
    <row r="180" spans="1:2" x14ac:dyDescent="0.3">
      <c r="A180">
        <v>753</v>
      </c>
      <c r="B180" s="92" t="s">
        <v>393</v>
      </c>
    </row>
    <row r="181" spans="1:2" x14ac:dyDescent="0.3">
      <c r="A181">
        <v>755</v>
      </c>
      <c r="B181" s="91" t="s">
        <v>394</v>
      </c>
    </row>
    <row r="182" spans="1:2" x14ac:dyDescent="0.3">
      <c r="A182">
        <v>770</v>
      </c>
      <c r="B182" s="92" t="s">
        <v>395</v>
      </c>
    </row>
    <row r="183" spans="1:2" x14ac:dyDescent="0.3">
      <c r="A183">
        <v>775</v>
      </c>
      <c r="B183" s="91" t="s">
        <v>396</v>
      </c>
    </row>
    <row r="184" spans="1:2" x14ac:dyDescent="0.3">
      <c r="A184">
        <v>782</v>
      </c>
      <c r="B184" s="92" t="s">
        <v>397</v>
      </c>
    </row>
    <row r="185" spans="1:2" x14ac:dyDescent="0.3">
      <c r="A185">
        <v>800</v>
      </c>
      <c r="B185" s="91" t="s">
        <v>398</v>
      </c>
    </row>
    <row r="186" spans="1:2" x14ac:dyDescent="0.3">
      <c r="A186">
        <v>803</v>
      </c>
      <c r="B186" s="92" t="s">
        <v>399</v>
      </c>
    </row>
    <row r="187" spans="1:2" x14ac:dyDescent="0.3">
      <c r="A187">
        <v>808</v>
      </c>
      <c r="B187" s="91" t="s">
        <v>400</v>
      </c>
    </row>
    <row r="188" spans="1:2" x14ac:dyDescent="0.3">
      <c r="A188">
        <v>810</v>
      </c>
      <c r="B188" s="92" t="s">
        <v>401</v>
      </c>
    </row>
    <row r="189" spans="1:2" x14ac:dyDescent="0.3">
      <c r="A189">
        <v>815</v>
      </c>
      <c r="B189" s="91" t="s">
        <v>402</v>
      </c>
    </row>
    <row r="190" spans="1:2" x14ac:dyDescent="0.3">
      <c r="A190">
        <v>817</v>
      </c>
      <c r="B190" s="90" t="s">
        <v>403</v>
      </c>
    </row>
  </sheetData>
  <sheetProtection algorithmName="SHA-512" hashValue="WzLGO5CPEI7cHUnzFqW8pA6qgeEis1eGCB/d1NtZSuI1fxg+kJTqJM2o5/MaImVLdC5VMMvhyiX1H3dYv45vcg==" saltValue="j727WaEXJHqgilm++QitMA==" spinCount="100000" sheet="1" objects="1" scenarios="1" selectLockedCells="1" selectUnlockedCells="1"/>
  <phoneticPr fontId="14" type="noConversion"/>
  <pageMargins left="0.7" right="0.7" top="0.75" bottom="0.75" header="0.3" footer="0.3"/>
  <legacyDrawing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ABB54-73F7-431C-BEB5-985AAEEC31F5}">
  <sheetPr codeName="Sheet3"/>
  <dimension ref="A1:D89"/>
  <sheetViews>
    <sheetView zoomScale="90" zoomScaleNormal="90" workbookViewId="0">
      <selection activeCell="E8" sqref="E8"/>
    </sheetView>
  </sheetViews>
  <sheetFormatPr defaultRowHeight="14.4" x14ac:dyDescent="0.3"/>
  <cols>
    <col min="1" max="1" width="22.109375" customWidth="1"/>
    <col min="2" max="2" width="181" customWidth="1"/>
  </cols>
  <sheetData>
    <row r="1" spans="1:4" x14ac:dyDescent="0.3">
      <c r="A1" t="s">
        <v>404</v>
      </c>
    </row>
    <row r="2" spans="1:4" x14ac:dyDescent="0.3">
      <c r="A2" t="s">
        <v>405</v>
      </c>
      <c r="B2">
        <f>MAX(D6:D14)</f>
        <v>1</v>
      </c>
    </row>
    <row r="4" spans="1:4" x14ac:dyDescent="0.3">
      <c r="A4" t="s">
        <v>406</v>
      </c>
    </row>
    <row r="5" spans="1:4" x14ac:dyDescent="0.3">
      <c r="A5" t="s">
        <v>73</v>
      </c>
      <c r="B5" t="s">
        <v>7</v>
      </c>
      <c r="C5" t="s">
        <v>407</v>
      </c>
      <c r="D5" t="s">
        <v>408</v>
      </c>
    </row>
    <row r="6" spans="1:4" x14ac:dyDescent="0.3">
      <c r="A6" s="44">
        <v>45135</v>
      </c>
      <c r="B6" t="s">
        <v>409</v>
      </c>
      <c r="C6" t="s">
        <v>410</v>
      </c>
      <c r="D6">
        <v>0.1</v>
      </c>
    </row>
    <row r="7" spans="1:4" ht="28.8" x14ac:dyDescent="0.3">
      <c r="A7" s="115">
        <v>45245</v>
      </c>
      <c r="B7" s="78" t="s">
        <v>411</v>
      </c>
      <c r="C7" t="s">
        <v>412</v>
      </c>
      <c r="D7">
        <v>1</v>
      </c>
    </row>
    <row r="8" spans="1:4" x14ac:dyDescent="0.3">
      <c r="A8" s="44">
        <v>45379</v>
      </c>
      <c r="B8" t="s">
        <v>413</v>
      </c>
      <c r="C8" t="s">
        <v>412</v>
      </c>
      <c r="D8">
        <v>1</v>
      </c>
    </row>
    <row r="16" spans="1:4" x14ac:dyDescent="0.3">
      <c r="A16" s="70" t="s">
        <v>414</v>
      </c>
      <c r="B16" s="71"/>
    </row>
    <row r="17" spans="1:2" x14ac:dyDescent="0.3">
      <c r="A17" s="9" t="s">
        <v>415</v>
      </c>
      <c r="B17" s="9" t="s">
        <v>416</v>
      </c>
    </row>
    <row r="18" spans="1:2" x14ac:dyDescent="0.3">
      <c r="A18" s="61" t="s">
        <v>417</v>
      </c>
      <c r="B18" s="60" t="s">
        <v>418</v>
      </c>
    </row>
    <row r="19" spans="1:2" x14ac:dyDescent="0.3">
      <c r="A19" s="63"/>
      <c r="B19" s="66" t="s">
        <v>419</v>
      </c>
    </row>
    <row r="20" spans="1:2" x14ac:dyDescent="0.3">
      <c r="A20" s="63"/>
      <c r="B20" s="67" t="s">
        <v>420</v>
      </c>
    </row>
    <row r="21" spans="1:2" ht="28.8" x14ac:dyDescent="0.3">
      <c r="A21" s="63"/>
      <c r="B21" s="87" t="s">
        <v>421</v>
      </c>
    </row>
    <row r="22" spans="1:2" x14ac:dyDescent="0.3">
      <c r="A22" s="63"/>
      <c r="B22" s="67" t="s">
        <v>422</v>
      </c>
    </row>
    <row r="23" spans="1:2" x14ac:dyDescent="0.3">
      <c r="A23" s="63"/>
      <c r="B23" s="68" t="s">
        <v>423</v>
      </c>
    </row>
    <row r="24" spans="1:2" x14ac:dyDescent="0.3">
      <c r="A24" s="63"/>
      <c r="B24" s="68" t="s">
        <v>424</v>
      </c>
    </row>
    <row r="25" spans="1:2" x14ac:dyDescent="0.3">
      <c r="A25" s="63"/>
      <c r="B25" s="68" t="s">
        <v>425</v>
      </c>
    </row>
    <row r="26" spans="1:2" x14ac:dyDescent="0.3">
      <c r="A26" s="63"/>
      <c r="B26" s="68" t="s">
        <v>426</v>
      </c>
    </row>
    <row r="27" spans="1:2" ht="28.95" customHeight="1" x14ac:dyDescent="0.3">
      <c r="A27" s="63"/>
      <c r="B27" s="72" t="s">
        <v>427</v>
      </c>
    </row>
    <row r="28" spans="1:2" ht="28.8" x14ac:dyDescent="0.3">
      <c r="A28" s="63"/>
      <c r="B28" s="72" t="s">
        <v>428</v>
      </c>
    </row>
    <row r="29" spans="1:2" x14ac:dyDescent="0.3">
      <c r="A29" s="65"/>
      <c r="B29" s="69" t="s">
        <v>429</v>
      </c>
    </row>
    <row r="30" spans="1:2" x14ac:dyDescent="0.3">
      <c r="A30" s="9" t="s">
        <v>430</v>
      </c>
      <c r="B30" s="9" t="s">
        <v>431</v>
      </c>
    </row>
    <row r="31" spans="1:2" x14ac:dyDescent="0.3">
      <c r="A31" s="9" t="s">
        <v>432</v>
      </c>
      <c r="B31" s="9" t="s">
        <v>433</v>
      </c>
    </row>
    <row r="33" spans="1:2" x14ac:dyDescent="0.3">
      <c r="A33" s="70" t="s">
        <v>434</v>
      </c>
      <c r="B33" s="71"/>
    </row>
    <row r="34" spans="1:2" x14ac:dyDescent="0.3">
      <c r="A34" s="61" t="s">
        <v>137</v>
      </c>
      <c r="B34" s="62" t="s">
        <v>435</v>
      </c>
    </row>
    <row r="35" spans="1:2" x14ac:dyDescent="0.3">
      <c r="B35" t="s">
        <v>436</v>
      </c>
    </row>
    <row r="36" spans="1:2" x14ac:dyDescent="0.3">
      <c r="A36" s="63"/>
      <c r="B36" s="64" t="s">
        <v>437</v>
      </c>
    </row>
    <row r="37" spans="1:2" x14ac:dyDescent="0.3">
      <c r="A37" s="61" t="s">
        <v>438</v>
      </c>
      <c r="B37" s="62" t="s">
        <v>439</v>
      </c>
    </row>
    <row r="38" spans="1:2" x14ac:dyDescent="0.3">
      <c r="A38" s="63"/>
      <c r="B38" s="64" t="s">
        <v>440</v>
      </c>
    </row>
    <row r="39" spans="1:2" x14ac:dyDescent="0.3">
      <c r="A39" s="63"/>
      <c r="B39" s="64" t="s">
        <v>441</v>
      </c>
    </row>
    <row r="40" spans="1:2" x14ac:dyDescent="0.3">
      <c r="A40" s="63"/>
      <c r="B40" s="64" t="s">
        <v>442</v>
      </c>
    </row>
    <row r="41" spans="1:2" x14ac:dyDescent="0.3">
      <c r="A41" s="63"/>
      <c r="B41" s="64" t="s">
        <v>443</v>
      </c>
    </row>
    <row r="42" spans="1:2" x14ac:dyDescent="0.3">
      <c r="A42" s="63"/>
      <c r="B42" s="64" t="s">
        <v>444</v>
      </c>
    </row>
    <row r="43" spans="1:2" x14ac:dyDescent="0.3">
      <c r="A43" s="63"/>
      <c r="B43" s="96" t="s">
        <v>445</v>
      </c>
    </row>
    <row r="44" spans="1:2" x14ac:dyDescent="0.3">
      <c r="A44" s="65"/>
      <c r="B44" s="77" t="s">
        <v>446</v>
      </c>
    </row>
    <row r="45" spans="1:2" x14ac:dyDescent="0.3">
      <c r="A45" s="61" t="s">
        <v>447</v>
      </c>
      <c r="B45" s="62" t="s">
        <v>448</v>
      </c>
    </row>
    <row r="46" spans="1:2" x14ac:dyDescent="0.3">
      <c r="A46" s="63"/>
      <c r="B46" s="64" t="s">
        <v>449</v>
      </c>
    </row>
    <row r="47" spans="1:2" x14ac:dyDescent="0.3">
      <c r="A47" s="63"/>
      <c r="B47" s="64" t="s">
        <v>450</v>
      </c>
    </row>
    <row r="48" spans="1:2" x14ac:dyDescent="0.3">
      <c r="A48" s="65"/>
      <c r="B48" s="75" t="s">
        <v>451</v>
      </c>
    </row>
    <row r="49" spans="1:2" x14ac:dyDescent="0.3">
      <c r="A49" s="61" t="s">
        <v>99</v>
      </c>
      <c r="B49" s="73" t="s">
        <v>452</v>
      </c>
    </row>
    <row r="50" spans="1:2" x14ac:dyDescent="0.3">
      <c r="A50" s="63"/>
      <c r="B50" s="74" t="s">
        <v>453</v>
      </c>
    </row>
    <row r="51" spans="1:2" x14ac:dyDescent="0.3">
      <c r="A51" s="63"/>
      <c r="B51" s="64" t="s">
        <v>450</v>
      </c>
    </row>
    <row r="52" spans="1:2" x14ac:dyDescent="0.3">
      <c r="A52" s="65"/>
      <c r="B52" s="114" t="s">
        <v>454</v>
      </c>
    </row>
    <row r="53" spans="1:2" x14ac:dyDescent="0.3">
      <c r="A53" s="61" t="s">
        <v>59</v>
      </c>
      <c r="B53" s="73" t="s">
        <v>455</v>
      </c>
    </row>
    <row r="54" spans="1:2" x14ac:dyDescent="0.3">
      <c r="A54" s="63"/>
      <c r="B54" s="74" t="s">
        <v>456</v>
      </c>
    </row>
    <row r="55" spans="1:2" x14ac:dyDescent="0.3">
      <c r="A55" s="63"/>
      <c r="B55" s="74" t="s">
        <v>457</v>
      </c>
    </row>
    <row r="56" spans="1:2" x14ac:dyDescent="0.3">
      <c r="A56" s="63"/>
      <c r="B56" s="64" t="s">
        <v>450</v>
      </c>
    </row>
    <row r="57" spans="1:2" x14ac:dyDescent="0.3">
      <c r="A57" s="65"/>
      <c r="B57" s="75" t="s">
        <v>458</v>
      </c>
    </row>
    <row r="58" spans="1:2" x14ac:dyDescent="0.3">
      <c r="A58" s="61" t="s">
        <v>459</v>
      </c>
      <c r="B58" s="62" t="s">
        <v>460</v>
      </c>
    </row>
    <row r="59" spans="1:2" x14ac:dyDescent="0.3">
      <c r="A59" s="63"/>
      <c r="B59" s="64" t="s">
        <v>461</v>
      </c>
    </row>
    <row r="60" spans="1:2" x14ac:dyDescent="0.3">
      <c r="A60" s="63"/>
      <c r="B60" s="64" t="s">
        <v>444</v>
      </c>
    </row>
    <row r="61" spans="1:2" x14ac:dyDescent="0.3">
      <c r="A61" s="63"/>
      <c r="B61" s="74" t="s">
        <v>462</v>
      </c>
    </row>
    <row r="62" spans="1:2" x14ac:dyDescent="0.3">
      <c r="A62" s="65"/>
      <c r="B62" s="75" t="s">
        <v>463</v>
      </c>
    </row>
    <row r="63" spans="1:2" x14ac:dyDescent="0.3">
      <c r="A63" s="61" t="s">
        <v>63</v>
      </c>
      <c r="B63" s="62" t="s">
        <v>464</v>
      </c>
    </row>
    <row r="64" spans="1:2" x14ac:dyDescent="0.3">
      <c r="A64" s="63"/>
      <c r="B64" s="64" t="s">
        <v>465</v>
      </c>
    </row>
    <row r="65" spans="1:2" x14ac:dyDescent="0.3">
      <c r="A65" s="63"/>
      <c r="B65" s="64" t="s">
        <v>466</v>
      </c>
    </row>
    <row r="66" spans="1:2" x14ac:dyDescent="0.3">
      <c r="A66" s="63"/>
      <c r="B66" s="64" t="s">
        <v>444</v>
      </c>
    </row>
    <row r="67" spans="1:2" x14ac:dyDescent="0.3">
      <c r="A67" s="63"/>
      <c r="B67" s="64" t="s">
        <v>467</v>
      </c>
    </row>
    <row r="68" spans="1:2" x14ac:dyDescent="0.3">
      <c r="A68" s="63"/>
      <c r="B68" s="64" t="s">
        <v>468</v>
      </c>
    </row>
    <row r="69" spans="1:2" x14ac:dyDescent="0.3">
      <c r="A69" s="65"/>
      <c r="B69" s="75" t="s">
        <v>469</v>
      </c>
    </row>
    <row r="70" spans="1:2" x14ac:dyDescent="0.3">
      <c r="A70" s="61" t="s">
        <v>19</v>
      </c>
      <c r="B70" s="62" t="s">
        <v>470</v>
      </c>
    </row>
    <row r="71" spans="1:2" x14ac:dyDescent="0.3">
      <c r="A71" s="63"/>
      <c r="B71" s="64" t="s">
        <v>471</v>
      </c>
    </row>
    <row r="72" spans="1:2" x14ac:dyDescent="0.3">
      <c r="A72" s="63"/>
      <c r="B72" s="64" t="s">
        <v>472</v>
      </c>
    </row>
    <row r="73" spans="1:2" x14ac:dyDescent="0.3">
      <c r="A73" s="63"/>
      <c r="B73" s="64" t="s">
        <v>473</v>
      </c>
    </row>
    <row r="74" spans="1:2" ht="28.8" x14ac:dyDescent="0.3">
      <c r="A74" s="63"/>
      <c r="B74" s="76" t="s">
        <v>474</v>
      </c>
    </row>
    <row r="75" spans="1:2" x14ac:dyDescent="0.3">
      <c r="A75" s="63"/>
      <c r="B75" s="64" t="s">
        <v>444</v>
      </c>
    </row>
    <row r="76" spans="1:2" x14ac:dyDescent="0.3">
      <c r="A76" s="63"/>
      <c r="B76" s="74" t="s">
        <v>475</v>
      </c>
    </row>
    <row r="77" spans="1:2" x14ac:dyDescent="0.3">
      <c r="A77" s="63"/>
      <c r="B77" s="64" t="s">
        <v>476</v>
      </c>
    </row>
    <row r="78" spans="1:2" x14ac:dyDescent="0.3">
      <c r="A78" s="65"/>
      <c r="B78" s="75" t="s">
        <v>477</v>
      </c>
    </row>
    <row r="80" spans="1:2" x14ac:dyDescent="0.3">
      <c r="A80" s="70" t="s">
        <v>478</v>
      </c>
      <c r="B80" s="71"/>
    </row>
    <row r="81" spans="1:2" ht="28.8" x14ac:dyDescent="0.3">
      <c r="A81" s="89" t="s">
        <v>479</v>
      </c>
      <c r="B81" s="88" t="s">
        <v>480</v>
      </c>
    </row>
    <row r="82" spans="1:2" x14ac:dyDescent="0.3">
      <c r="A82" s="63"/>
      <c r="B82" s="64" t="s">
        <v>481</v>
      </c>
    </row>
    <row r="83" spans="1:2" x14ac:dyDescent="0.3">
      <c r="A83" s="63"/>
      <c r="B83" s="64" t="s">
        <v>450</v>
      </c>
    </row>
    <row r="84" spans="1:2" x14ac:dyDescent="0.3">
      <c r="A84" s="63"/>
      <c r="B84" s="64" t="s">
        <v>482</v>
      </c>
    </row>
    <row r="85" spans="1:2" x14ac:dyDescent="0.3">
      <c r="A85" s="63"/>
      <c r="B85" s="64" t="s">
        <v>483</v>
      </c>
    </row>
    <row r="86" spans="1:2" x14ac:dyDescent="0.3">
      <c r="A86" s="63"/>
      <c r="B86" s="64" t="s">
        <v>484</v>
      </c>
    </row>
    <row r="87" spans="1:2" x14ac:dyDescent="0.3">
      <c r="A87" s="65"/>
      <c r="B87" s="75" t="s">
        <v>485</v>
      </c>
    </row>
    <row r="89" spans="1:2" x14ac:dyDescent="0.3">
      <c r="B89" s="107"/>
    </row>
  </sheetData>
  <sheetProtection algorithmName="SHA-512" hashValue="8aclxvzKTs5GR/zubvuzzgUoziHosOAzwBx0HBUmjnf3tKSZzyvI2nAUcqLj0Xnknh0zk9Q/WY8lCzG1Z14PmA==" saltValue="/F1Xoy0frK7vS9c/EZ6mOg==" spinCount="100000" sheet="1" objects="1" scenarios="1" selectLockedCells="1"/>
  <hyperlinks>
    <hyperlink ref="B43" r:id="rId1" xr:uid="{58BC52D3-873A-4EE6-BA9A-AE7C145598E6}"/>
    <hyperlink ref="B44" r:id="rId2" xr:uid="{F5D3005D-6A06-43F2-8ED6-0B0FA2A9CD79}"/>
    <hyperlink ref="B76" r:id="rId3" xr:uid="{08FBE94F-6B0C-4534-9486-ACDB1CAF6254}"/>
    <hyperlink ref="B61" r:id="rId4" xr:uid="{552A765E-E826-458B-967C-7D4FB9EF88B9}"/>
    <hyperlink ref="B52" r:id="rId5" xr:uid="{65FDCC91-4E21-4E43-ABC4-80F990D750B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0014CAAA7CFDB43930161CD5FC09619" ma:contentTypeVersion="14" ma:contentTypeDescription="Create a new document." ma:contentTypeScope="" ma:versionID="e7f3af2ba21d9c62858d7125c3ad002a">
  <xsd:schema xmlns:xsd="http://www.w3.org/2001/XMLSchema" xmlns:xs="http://www.w3.org/2001/XMLSchema" xmlns:p="http://schemas.microsoft.com/office/2006/metadata/properties" xmlns:ns2="4ea8e0ad-7a59-4890-8d0b-cf42f5fca57b" xmlns:ns3="3b2ab695-dddd-4dee-92d6-b9c3e802a163" targetNamespace="http://schemas.microsoft.com/office/2006/metadata/properties" ma:root="true" ma:fieldsID="2f59dbada44965f4ac1a15d06ed396b3" ns2:_="" ns3:_="">
    <xsd:import namespace="4ea8e0ad-7a59-4890-8d0b-cf42f5fca57b"/>
    <xsd:import namespace="3b2ab695-dddd-4dee-92d6-b9c3e802a16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a8e0ad-7a59-4890-8d0b-cf42f5fca57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b2ab695-dddd-4dee-92d6-b9c3e802a163"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ea8e0ad-7a59-4890-8d0b-cf42f5fca57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DDF12D4-F1F1-4D6B-B621-0069E74EB92B}">
  <ds:schemaRefs>
    <ds:schemaRef ds:uri="http://schemas.microsoft.com/sharepoint/v3/contenttype/forms"/>
  </ds:schemaRefs>
</ds:datastoreItem>
</file>

<file path=customXml/itemProps2.xml><?xml version="1.0" encoding="utf-8"?>
<ds:datastoreItem xmlns:ds="http://schemas.openxmlformats.org/officeDocument/2006/customXml" ds:itemID="{6770953E-1C37-4454-8243-BAF9AE5C9B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a8e0ad-7a59-4890-8d0b-cf42f5fca57b"/>
    <ds:schemaRef ds:uri="3b2ab695-dddd-4dee-92d6-b9c3e802a16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65348F0-C335-4B02-809A-C559AB8DC487}">
  <ds:schemaRefs>
    <ds:schemaRef ds:uri="http://schemas.microsoft.com/office/2006/metadata/properties"/>
    <ds:schemaRef ds:uri="http://schemas.microsoft.com/office/infopath/2007/PartnerControls"/>
    <ds:schemaRef ds:uri="4ea8e0ad-7a59-4890-8d0b-cf42f5fca57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21</vt:i4>
      </vt:variant>
    </vt:vector>
  </HeadingPairs>
  <TitlesOfParts>
    <vt:vector size="24" baseType="lpstr">
      <vt:lpstr>Instructions</vt:lpstr>
      <vt:lpstr>tool</vt:lpstr>
      <vt:lpstr>report</vt:lpstr>
      <vt:lpstr>calc_test</vt:lpstr>
      <vt:lpstr>cnt</vt:lpstr>
      <vt:lpstr>conv_fact</vt:lpstr>
      <vt:lpstr>ct_plt_vals</vt:lpstr>
      <vt:lpstr>CT_sort</vt:lpstr>
      <vt:lpstr>CT_vals</vt:lpstr>
      <vt:lpstr>data_table</vt:lpstr>
      <vt:lpstr>date</vt:lpstr>
      <vt:lpstr>last_row</vt:lpstr>
      <vt:lpstr>metrics</vt:lpstr>
      <vt:lpstr>min_cnt</vt:lpstr>
      <vt:lpstr>n_samp</vt:lpstr>
      <vt:lpstr>parameters</vt:lpstr>
      <vt:lpstr>project_data</vt:lpstr>
      <vt:lpstr>sample_table</vt:lpstr>
      <vt:lpstr>TX_desc</vt:lpstr>
      <vt:lpstr>tx_plt_vals</vt:lpstr>
      <vt:lpstr>TX_sort</vt:lpstr>
      <vt:lpstr>TX_vals</vt:lpstr>
      <vt:lpstr>units</vt:lpstr>
      <vt:lpstr>value_data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Winger</dc:creator>
  <cp:keywords/>
  <dc:description/>
  <cp:lastModifiedBy>Roth, Jason - FPAC-NRCS, OR</cp:lastModifiedBy>
  <cp:revision/>
  <cp:lastPrinted>2024-10-17T18:58:12Z</cp:lastPrinted>
  <dcterms:created xsi:type="dcterms:W3CDTF">2022-10-28T16:11:16Z</dcterms:created>
  <dcterms:modified xsi:type="dcterms:W3CDTF">2024-10-17T19:15:51Z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0x010100B0014CAAA7CFDB43930161CD5FC09619</vt:lpwstr>
  </property>
  <property fmtid="{D5CDD505-2E9C-101B-9397-08002B2CF9AE}" pid="3" name="MediaServiceImageTags">
    <vt:lpwstr/>
  </property>
</Properties>
</file>